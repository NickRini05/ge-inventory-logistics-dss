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11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virginiatech-my.sharepoint.com/personal/rininick05_vt_edu/Documents/"/>
    </mc:Choice>
  </mc:AlternateContent>
  <xr:revisionPtr revIDLastSave="0" documentId="8_{77B0B862-857B-4D53-9EF9-EED55203C517}" xr6:coauthVersionLast="47" xr6:coauthVersionMax="47" xr10:uidLastSave="{00000000-0000-0000-0000-000000000000}"/>
  <bookViews>
    <workbookView xWindow="-25693" yWindow="-1220" windowWidth="25786" windowHeight="13867" firstSheet="3" activeTab="3" xr2:uid="{D505323F-AC25-4627-B749-0EC932500D5C}"/>
  </bookViews>
  <sheets>
    <sheet name="P1" sheetId="19" state="hidden" r:id="rId1"/>
    <sheet name="P2" sheetId="20" state="hidden" r:id="rId2"/>
    <sheet name="P3" sheetId="21" state="hidden" r:id="rId3"/>
    <sheet name="Welcome" sheetId="23" r:id="rId4"/>
    <sheet name="Hidden" sheetId="22" state="hidden" r:id="rId5"/>
    <sheet name="Shipping" sheetId="18" state="hidden" r:id="rId6"/>
    <sheet name="Assign1" sheetId="11" state="hidden" r:id="rId7"/>
    <sheet name="Assign2" sheetId="16" state="hidden" r:id="rId8"/>
    <sheet name="Assign3" sheetId="17" state="hidden" r:id="rId9"/>
    <sheet name="Data" sheetId="27" state="hidden" r:id="rId10"/>
    <sheet name="Model" sheetId="26" state="hidden" r:id="rId11"/>
  </sheets>
  <externalReferences>
    <externalReference r:id="rId12"/>
    <externalReference r:id="rId13"/>
  </externalReferences>
  <definedNames>
    <definedName name="_xlnm._FilterDatabase" localSheetId="9" hidden="1">Data!$G$8:$K$55</definedName>
    <definedName name="_xleta.DATEVALUE" hidden="1" xlm="1">#NAME?</definedName>
    <definedName name="_xleta.PERCENTRANK.EXC" hidden="1" xlm="1">#NAME?</definedName>
    <definedName name="_xleta.PERCENTRANK.INC" hidden="1" xlm="1">#NAME?</definedName>
    <definedName name="Actual_Sales">#REF!</definedName>
    <definedName name="Allocation">#REF!</definedName>
    <definedName name="Available_Funds">#REF!</definedName>
    <definedName name="Available_Supply">#REF!</definedName>
    <definedName name="AvgExpError">'P1'!$I$6:$I$35</definedName>
    <definedName name="AvgLinError">'P1'!$H$6:$H$35</definedName>
    <definedName name="AvgPolyError">'P1'!$J$6:$J$35</definedName>
    <definedName name="Blacksburg" localSheetId="9">[1]Model!$H$8:$H$16</definedName>
    <definedName name="Blacksburg">[2]Model!$H$8:$H$16</definedName>
    <definedName name="Camden">Model!$H$9:$H$11</definedName>
    <definedName name="Capacity" localSheetId="7">Assign2!#REF!</definedName>
    <definedName name="Capacity" localSheetId="8">Assign3!#REF!</definedName>
    <definedName name="Capacity" localSheetId="10">Assign1!$B$22:$D$22</definedName>
    <definedName name="Capacity">Assign1!$B$16:$D$16</definedName>
    <definedName name="Capacity1" localSheetId="7">Assign2!$B$16:$D$16</definedName>
    <definedName name="Capacity1" localSheetId="8">Assign3!#REF!</definedName>
    <definedName name="Capacity1">Assign1!#REF!</definedName>
    <definedName name="Capacity2" localSheetId="7">Assign2!#REF!</definedName>
    <definedName name="Capacity2" localSheetId="8">Assign3!$B$16:$D$16</definedName>
    <definedName name="Capacity2">Assign1!#REF!</definedName>
    <definedName name="cFish">#REF!</definedName>
    <definedName name="Chatsworth">Model!$I$9:$I$11</definedName>
    <definedName name="Christiansburg" localSheetId="9">[1]Model!$I$8:$I$16</definedName>
    <definedName name="Christiansburg">[2]Model!$I$8:$I$16</definedName>
    <definedName name="Cost_per_Stop" localSheetId="7">Assign2!#REF!</definedName>
    <definedName name="Cost_per_Stop" localSheetId="8">Assign3!#REF!</definedName>
    <definedName name="Cost_per_Stop" localSheetId="10">Assign1!$B$23:$D$23</definedName>
    <definedName name="Cost_per_Stop">Assign1!$B$17:$D$17</definedName>
    <definedName name="Cost_per_Stop1" localSheetId="7">Assign2!$B$17:$D$17</definedName>
    <definedName name="Cost_per_Stop1" localSheetId="8">Assign3!#REF!</definedName>
    <definedName name="Cost_per_Stop1">Assign1!#REF!</definedName>
    <definedName name="Cost_per_Stop2" localSheetId="7">Assign2!#REF!</definedName>
    <definedName name="Cost_per_Stop2" localSheetId="8">Assign3!$B$17:$D$17</definedName>
    <definedName name="Cost_per_Stop2">Assign1!#REF!</definedName>
    <definedName name="cSteak">#REF!</definedName>
    <definedName name="cTable">#REF!</definedName>
    <definedName name="Current_Inventory">#REF!</definedName>
    <definedName name="CustLast" localSheetId="9">Data!$B$9:$B$28</definedName>
    <definedName name="CustLast">#REF!</definedName>
    <definedName name="CustPhone" localSheetId="9">Data!$C$9:$C$28</definedName>
    <definedName name="CustPhone">#REF!</definedName>
    <definedName name="CustReport" localSheetId="9">Data!$M$7</definedName>
    <definedName name="CustReport">#REF!</definedName>
    <definedName name="CustStart" localSheetId="9">Data!$A$8</definedName>
    <definedName name="CustStart">#REF!</definedName>
    <definedName name="Cutaway_Van" localSheetId="7">Assign2!#REF!</definedName>
    <definedName name="Cutaway_Van" localSheetId="8">Assign3!#REF!</definedName>
    <definedName name="Cutaway_Van" localSheetId="10">Assign1!$D$13:$D$18</definedName>
    <definedName name="Cutaway_Van">Assign1!$D$7:$D$12</definedName>
    <definedName name="Cutaway_Van1" localSheetId="7">Assign2!$D$7:$D$12</definedName>
    <definedName name="Cutaway_Van1" localSheetId="8">Assign3!#REF!</definedName>
    <definedName name="Cutaway_Van1">Assign1!#REF!</definedName>
    <definedName name="Cutaway_Van2" localSheetId="7">Assign2!#REF!</definedName>
    <definedName name="Cutaway_Van2" localSheetId="8">Assign3!$D$7:$D$12</definedName>
    <definedName name="Cutaway_Van2">Assign1!#REF!</definedName>
    <definedName name="Decatur">Model!$J$9:$J$11</definedName>
    <definedName name="Delivered" localSheetId="7">Assign2!#REF!</definedName>
    <definedName name="Delivered" localSheetId="8">Assign3!#REF!</definedName>
    <definedName name="Delivered">Assign1!$E$7:$E$12</definedName>
    <definedName name="Delivered1" localSheetId="7">Assign2!$E$7:$E$12</definedName>
    <definedName name="Delivered1" localSheetId="8">Assign3!#REF!</definedName>
    <definedName name="Delivered1">Assign1!#REF!</definedName>
    <definedName name="Delivered2" localSheetId="7">Assign2!#REF!</definedName>
    <definedName name="Delivered2" localSheetId="8">Assign3!$E$7:$E$12</definedName>
    <definedName name="Delivered2">Assign1!#REF!</definedName>
    <definedName name="Demand" localSheetId="7">Assign2!#REF!</definedName>
    <definedName name="Demand" localSheetId="8">Assign3!#REF!</definedName>
    <definedName name="Demand" localSheetId="10">Assign1!$F$13:$F$18</definedName>
    <definedName name="Demand">Assign1!$F$7:$F$12</definedName>
    <definedName name="Demand1" localSheetId="7">Assign2!$F$7:$F$12</definedName>
    <definedName name="Demand1" localSheetId="8">Assign3!#REF!</definedName>
    <definedName name="Demand1">Assign1!#REF!</definedName>
    <definedName name="Demand2" localSheetId="7">Assign2!#REF!</definedName>
    <definedName name="Demand2" localSheetId="8">Assign3!$F$7:$F$12</definedName>
    <definedName name="Demand2">Assign1!#REF!</definedName>
    <definedName name="Expected_Demand">#REF!</definedName>
    <definedName name="Expected_Returns">#REF!</definedName>
    <definedName name="Expected_Risk">#REF!</definedName>
    <definedName name="ExpError">'P1'!$I$6:$I$35</definedName>
    <definedName name="ExternalData_2" localSheetId="10">Model!$F$9:$G$11</definedName>
    <definedName name="g" localSheetId="7">Assign2!#REF!</definedName>
    <definedName name="g" localSheetId="8">Assign3!#REF!</definedName>
    <definedName name="g">Assign1!$C$8:$C$12</definedName>
    <definedName name="HistOut">#REF!</definedName>
    <definedName name="ImportAnchor">Model!$H$9</definedName>
    <definedName name="ImportHere">Model!$F$9</definedName>
    <definedName name="ImportHere1">Model!$H$9:$M$11</definedName>
    <definedName name="Investment">#REF!</definedName>
    <definedName name="InvTStart">#REF!</definedName>
    <definedName name="L20importdata" localSheetId="10">Model!$F$9:$G$11</definedName>
    <definedName name="Lafayette">Model!$K$9:$K$11</definedName>
    <definedName name="LogInInfo">Hidden!$A$4:$B$5</definedName>
    <definedName name="Lost_Sales">#REF!</definedName>
    <definedName name="Lost_Sales_Cost">#REF!</definedName>
    <definedName name="Louisville">Model!$L$9:$L$11</definedName>
    <definedName name="Max_Allocation">#REF!</definedName>
    <definedName name="Max_Shifts">#REF!</definedName>
    <definedName name="Min_Allocation">#REF!</definedName>
    <definedName name="Min_to_Select">#REF!</definedName>
    <definedName name="nGuests">#REF!</definedName>
    <definedName name="nTables">#REF!</definedName>
    <definedName name="Number_Stops" localSheetId="7">Assign2!#REF!</definedName>
    <definedName name="Number_Stops" localSheetId="8">Assign3!#REF!</definedName>
    <definedName name="Number_Stops" localSheetId="10">Assign1!$B$21:$D$21</definedName>
    <definedName name="Number_Stops">Assign1!$B$15:$D$15</definedName>
    <definedName name="Number_Stops1" localSheetId="7">Assign2!$B$15:$D$15</definedName>
    <definedName name="Number_Stops1" localSheetId="8">Assign3!#REF!</definedName>
    <definedName name="Number_Stops1">Assign1!#REF!</definedName>
    <definedName name="Number_Stops2" localSheetId="7">Assign2!#REF!</definedName>
    <definedName name="Number_Stops2" localSheetId="8">Assign3!$B$15:$D$15</definedName>
    <definedName name="Number_Stops2">Assign1!#REF!</definedName>
    <definedName name="OPlaced">Model!$D$9:$D$11</definedName>
    <definedName name="ORD1001_" localSheetId="9">Data!$G$10:$G$49</definedName>
    <definedName name="ORD1001_">#REF!</definedName>
    <definedName name="Order_Cost">#REF!</definedName>
    <definedName name="Order_Quantity">#REF!</definedName>
    <definedName name="OrderID" localSheetId="9">Data!$G$9:$G$72</definedName>
    <definedName name="OrderID">[2]Data!$G$8:$G$47</definedName>
    <definedName name="OrderLookUp" localSheetId="9">Data!$D$5</definedName>
    <definedName name="OrderLookUp">#REF!</definedName>
    <definedName name="OrderProd" localSheetId="9">Data!$I$9:$I$72</definedName>
    <definedName name="OrderProd">[2]Data!$I$8:$I$47</definedName>
    <definedName name="OrderQ" localSheetId="9">Data!$J$9:$J$72</definedName>
    <definedName name="OrderQ">[2]Data!$J$8:$J$47</definedName>
    <definedName name="OrderQ1">Data!$J$9:$J$55</definedName>
    <definedName name="OrdersPlaced" localSheetId="9">[1]Model!$D$8:$D$16</definedName>
    <definedName name="OrdersPlaced">[2]Model!$D$8:$D$16</definedName>
    <definedName name="OrderStore" localSheetId="9">Data!$H$9:$H$72</definedName>
    <definedName name="ORDID">Data!$A$9:$A$33</definedName>
    <definedName name="OReport" localSheetId="9">Data!$S$7</definedName>
    <definedName name="OReport">#REF!</definedName>
    <definedName name="OStart" localSheetId="9">Data!$G$8</definedName>
    <definedName name="OStart">#REF!</definedName>
    <definedName name="Ostore">Data!$H$9:$H$55</definedName>
    <definedName name="P1_Price" localSheetId="1">'P2'!$B$45:$B$64</definedName>
    <definedName name="P1_Price" localSheetId="2">'P3'!$B$45:$B$64</definedName>
    <definedName name="P1_Price">'P1'!$B$47:$B$66</definedName>
    <definedName name="P1_Sales" localSheetId="0">'P1'!$C$47:$C$66</definedName>
    <definedName name="P1_Sales" localSheetId="1">'P2'!$C$45:$C$64</definedName>
    <definedName name="P1_Sales" localSheetId="2">'P3'!$C$45:$C$64</definedName>
    <definedName name="P1_Sales">#REF!</definedName>
    <definedName name="P1_Sales1">'P1'!$C$47:$C$66</definedName>
    <definedName name="P1_Sales2">'P1'!$C$47:$C$66</definedName>
    <definedName name="P103_" localSheetId="9">Data!$I$10:$I$49</definedName>
    <definedName name="P103_">#REF!</definedName>
    <definedName name="P1Price">'P1'!$C$6:$C$35</definedName>
    <definedName name="P1Sales">'P1'!$D$6:$D$35</definedName>
    <definedName name="P2_Price">#REF!</definedName>
    <definedName name="P2Price">'P2'!$C$4:$C$33</definedName>
    <definedName name="P2Sales">'P2'!$D$4:$D$33</definedName>
    <definedName name="P3Price">'P3'!$C$4:$C$33</definedName>
    <definedName name="P3Sales">'P3'!$D$4:$D$33</definedName>
    <definedName name="Pay_per_Shift">#REF!</definedName>
    <definedName name="pFish">#REF!</definedName>
    <definedName name="PIntervals">#REF!</definedName>
    <definedName name="PolyError">'P1'!$J$6:$J$35</definedName>
    <definedName name="Price" localSheetId="9">Data!$K$9:$K$72</definedName>
    <definedName name="Price">[2]Data!$K$8:$K$47</definedName>
    <definedName name="ProdID">Model!$A$9:$A$11</definedName>
    <definedName name="ProdPrice" localSheetId="9">[1]Model!$A$8:$F$16</definedName>
    <definedName name="ProdPrice">Model!$A$9:$F$11</definedName>
    <definedName name="Product" localSheetId="9">[1]Model!$B$8:$B$16</definedName>
    <definedName name="Product">Model!$B$9:$B$11</definedName>
    <definedName name="Product1">Model!$B$9:$B$11</definedName>
    <definedName name="pSteak">#REF!</definedName>
    <definedName name="RemInv">Model!$E$9:$E$11</definedName>
    <definedName name="Report">#REF!</definedName>
    <definedName name="ReportStart">#REF!</definedName>
    <definedName name="Return_Rate">#REF!</definedName>
    <definedName name="Risk_Rate">#REF!</definedName>
    <definedName name="Roanoke" localSheetId="9">Data!$H$10:$H$49</definedName>
    <definedName name="Roanoke">[2]Model!$J$8:$J$16</definedName>
    <definedName name="Sales_Price">#REF!</definedName>
    <definedName name="SalesPrice" localSheetId="9">[1]Model!$F$8:$F$16</definedName>
    <definedName name="SalesPrice">[2]Model!$F$8:$F$16</definedName>
    <definedName name="Selected">#REF!</definedName>
    <definedName name="Selmer">Model!$M$9:$M$11</definedName>
    <definedName name="Semi_Truck" localSheetId="7">Assign2!#REF!</definedName>
    <definedName name="Semi_Truck" localSheetId="8">Assign3!#REF!</definedName>
    <definedName name="Semi_Truck" localSheetId="10">Assign1!$B$13:$B$18</definedName>
    <definedName name="Semi_Truck">Assign1!$B$7:$B$12</definedName>
    <definedName name="Semi_Truck1" localSheetId="7">Assign2!$B$7:$B$12</definedName>
    <definedName name="Semi_Truck1" localSheetId="8">Assign3!#REF!</definedName>
    <definedName name="Semi_Truck1">Assign1!#REF!</definedName>
    <definedName name="Semi_Truck2" localSheetId="7">Assign2!#REF!</definedName>
    <definedName name="Semi_Truck2" localSheetId="8">Assign3!$B$7:$B$12</definedName>
    <definedName name="Semi_Truck2">Assign1!#REF!</definedName>
    <definedName name="Shifts">#REF!</definedName>
    <definedName name="Shifts_per_Staff">#REF!</definedName>
    <definedName name="ShipCost" localSheetId="9">[1]Model!$G$8:$G$16</definedName>
    <definedName name="ShipCost" localSheetId="4">[2]Model!$G$8:$G$16</definedName>
    <definedName name="ShipCost" localSheetId="10">Model!$G$9:$G$11</definedName>
    <definedName name="ShipCost" localSheetId="3">[2]Model!$G$8:$G$16</definedName>
    <definedName name="ShipCost">#REF!</definedName>
    <definedName name="ShipDV">#REF!</definedName>
    <definedName name="solver_adj" localSheetId="6" hidden="1">Assign1!$B$7:$D$12</definedName>
    <definedName name="solver_adj" localSheetId="7" hidden="1">Assign2!$B$7:$D$12</definedName>
    <definedName name="solver_adj" localSheetId="8" hidden="1">Assign3!$B$7:$D$12</definedName>
    <definedName name="solver_adj" localSheetId="5" hidden="1">Shipping!$C$5:$F$11</definedName>
    <definedName name="solver_cvg" localSheetId="6" hidden="1">0.0001</definedName>
    <definedName name="solver_cvg" localSheetId="7" hidden="1">0.0001</definedName>
    <definedName name="solver_cvg" localSheetId="8" hidden="1">0.0001</definedName>
    <definedName name="solver_cvg" localSheetId="10" hidden="1">0.0001</definedName>
    <definedName name="solver_cvg" localSheetId="5" hidden="1">0.0001</definedName>
    <definedName name="solver_drv" localSheetId="6" hidden="1">1</definedName>
    <definedName name="solver_drv" localSheetId="7" hidden="1">1</definedName>
    <definedName name="solver_drv" localSheetId="8" hidden="1">1</definedName>
    <definedName name="solver_drv" localSheetId="10" hidden="1">1</definedName>
    <definedName name="solver_drv" localSheetId="5" hidden="1">1</definedName>
    <definedName name="solver_eng" localSheetId="6" hidden="1">2</definedName>
    <definedName name="solver_eng" localSheetId="7" hidden="1">2</definedName>
    <definedName name="solver_eng" localSheetId="8" hidden="1">2</definedName>
    <definedName name="solver_eng" localSheetId="10" hidden="1">1</definedName>
    <definedName name="solver_eng" localSheetId="5" hidden="1">1</definedName>
    <definedName name="solver_est" localSheetId="6" hidden="1">1</definedName>
    <definedName name="solver_est" localSheetId="7" hidden="1">1</definedName>
    <definedName name="solver_est" localSheetId="8" hidden="1">1</definedName>
    <definedName name="solver_est" localSheetId="10" hidden="1">1</definedName>
    <definedName name="solver_est" localSheetId="5" hidden="1">1</definedName>
    <definedName name="solver_itr" localSheetId="6" hidden="1">2147483647</definedName>
    <definedName name="solver_itr" localSheetId="7" hidden="1">2147483647</definedName>
    <definedName name="solver_itr" localSheetId="8" hidden="1">2147483647</definedName>
    <definedName name="solver_itr" localSheetId="10" hidden="1">2147483647</definedName>
    <definedName name="solver_itr" localSheetId="5" hidden="1">2147483647</definedName>
    <definedName name="solver_lhs1" localSheetId="6" hidden="1">Assign1!$E$7:$E$12</definedName>
    <definedName name="solver_lhs1" localSheetId="7" hidden="1">Assign2!$E$7:$E$12</definedName>
    <definedName name="solver_lhs1" localSheetId="8" hidden="1">Assign3!$E$7:$E$12</definedName>
    <definedName name="solver_lhs1" localSheetId="10" hidden="1">Model!$G$16</definedName>
    <definedName name="solver_lhs1" localSheetId="5" hidden="1">Shipping!$C$13</definedName>
    <definedName name="solver_lhs2" localSheetId="6" hidden="1">Assign1!$B$14:$D$14</definedName>
    <definedName name="solver_lhs2" localSheetId="7" hidden="1">Assign2!$B$14:$D$14</definedName>
    <definedName name="solver_lhs2" localSheetId="8" hidden="1">Assign3!$B$14:$D$14</definedName>
    <definedName name="solver_lhs2" localSheetId="10" hidden="1">Model!#REF!</definedName>
    <definedName name="solver_lhs2" localSheetId="5" hidden="1">Shipping!$C$5:$F$11</definedName>
    <definedName name="solver_lhs3" localSheetId="6" hidden="1">Assign1!$B$7:$D$12</definedName>
    <definedName name="solver_lhs3" localSheetId="7" hidden="1">Assign2!$B$7:$D$12</definedName>
    <definedName name="solver_lhs3" localSheetId="8" hidden="1">Assign3!$B$7:$D$12</definedName>
    <definedName name="solver_lhs3" localSheetId="10" hidden="1">Model!#REF!</definedName>
    <definedName name="solver_lhs3" localSheetId="5" hidden="1">Shipping!$D$13</definedName>
    <definedName name="solver_lhs4" localSheetId="7" hidden="1">Assign2!$B$14:$D$14</definedName>
    <definedName name="solver_lhs4" localSheetId="10" hidden="1">Model!#REF!</definedName>
    <definedName name="solver_lhs4" localSheetId="5" hidden="1">Shipping!$E$13</definedName>
    <definedName name="solver_lhs5" localSheetId="7" hidden="1">Assign2!$B$7:$D$12</definedName>
    <definedName name="solver_lhs5" localSheetId="5" hidden="1">Shipping!$F$13</definedName>
    <definedName name="solver_lhs6" localSheetId="5" hidden="1">Shipping!$G$5:$G$11</definedName>
    <definedName name="solver_mip" localSheetId="6" hidden="1">2147483647</definedName>
    <definedName name="solver_mip" localSheetId="7" hidden="1">2147483647</definedName>
    <definedName name="solver_mip" localSheetId="8" hidden="1">2147483647</definedName>
    <definedName name="solver_mip" localSheetId="10" hidden="1">2147483647</definedName>
    <definedName name="solver_mip" localSheetId="5" hidden="1">2147483647</definedName>
    <definedName name="solver_mni" localSheetId="6" hidden="1">30</definedName>
    <definedName name="solver_mni" localSheetId="7" hidden="1">30</definedName>
    <definedName name="solver_mni" localSheetId="8" hidden="1">30</definedName>
    <definedName name="solver_mni" localSheetId="10" hidden="1">30</definedName>
    <definedName name="solver_mni" localSheetId="5" hidden="1">30</definedName>
    <definedName name="solver_mrt" localSheetId="6" hidden="1">0.075</definedName>
    <definedName name="solver_mrt" localSheetId="7" hidden="1">0.075</definedName>
    <definedName name="solver_mrt" localSheetId="8" hidden="1">0.075</definedName>
    <definedName name="solver_mrt" localSheetId="10" hidden="1">0.075</definedName>
    <definedName name="solver_mrt" localSheetId="5" hidden="1">0.075</definedName>
    <definedName name="solver_msl" localSheetId="6" hidden="1">2</definedName>
    <definedName name="solver_msl" localSheetId="7" hidden="1">2</definedName>
    <definedName name="solver_msl" localSheetId="8" hidden="1">2</definedName>
    <definedName name="solver_msl" localSheetId="10" hidden="1">2</definedName>
    <definedName name="solver_msl" localSheetId="5" hidden="1">2</definedName>
    <definedName name="solver_neg" localSheetId="6" hidden="1">1</definedName>
    <definedName name="solver_neg" localSheetId="7" hidden="1">1</definedName>
    <definedName name="solver_neg" localSheetId="8" hidden="1">1</definedName>
    <definedName name="solver_neg" localSheetId="10" hidden="1">1</definedName>
    <definedName name="solver_neg" localSheetId="5" hidden="1">1</definedName>
    <definedName name="solver_nod" localSheetId="6" hidden="1">2147483647</definedName>
    <definedName name="solver_nod" localSheetId="7" hidden="1">2147483647</definedName>
    <definedName name="solver_nod" localSheetId="8" hidden="1">2147483647</definedName>
    <definedName name="solver_nod" localSheetId="10" hidden="1">2147483647</definedName>
    <definedName name="solver_nod" localSheetId="5" hidden="1">2147483647</definedName>
    <definedName name="solver_num" localSheetId="6" hidden="1">3</definedName>
    <definedName name="solver_num" localSheetId="7" hidden="1">3</definedName>
    <definedName name="solver_num" localSheetId="8" hidden="1">3</definedName>
    <definedName name="solver_num" localSheetId="10" hidden="1">0</definedName>
    <definedName name="solver_num" localSheetId="5" hidden="1">6</definedName>
    <definedName name="solver_nwt" localSheetId="6" hidden="1">1</definedName>
    <definedName name="solver_nwt" localSheetId="7" hidden="1">1</definedName>
    <definedName name="solver_nwt" localSheetId="8" hidden="1">1</definedName>
    <definedName name="solver_nwt" localSheetId="10" hidden="1">1</definedName>
    <definedName name="solver_nwt" localSheetId="5" hidden="1">1</definedName>
    <definedName name="solver_opt" localSheetId="6" hidden="1">Assign1!$B$19</definedName>
    <definedName name="solver_opt" localSheetId="7" hidden="1">Assign2!$B$19</definedName>
    <definedName name="solver_opt" localSheetId="8" hidden="1">Assign3!$B$19</definedName>
    <definedName name="solver_opt" localSheetId="5" hidden="1">Shipping!$K$14</definedName>
    <definedName name="solver_pre" localSheetId="6" hidden="1">0.000001</definedName>
    <definedName name="solver_pre" localSheetId="7" hidden="1">0.000001</definedName>
    <definedName name="solver_pre" localSheetId="8" hidden="1">0.000001</definedName>
    <definedName name="solver_pre" localSheetId="10" hidden="1">0.000001</definedName>
    <definedName name="solver_pre" localSheetId="5" hidden="1">0.000001</definedName>
    <definedName name="solver_rbv" localSheetId="6" hidden="1">1</definedName>
    <definedName name="solver_rbv" localSheetId="7" hidden="1">1</definedName>
    <definedName name="solver_rbv" localSheetId="8" hidden="1">1</definedName>
    <definedName name="solver_rbv" localSheetId="10" hidden="1">1</definedName>
    <definedName name="solver_rbv" localSheetId="5" hidden="1">1</definedName>
    <definedName name="solver_rel1" localSheetId="6" hidden="1">2</definedName>
    <definedName name="solver_rel1" localSheetId="7" hidden="1">2</definedName>
    <definedName name="solver_rel1" localSheetId="8" hidden="1">2</definedName>
    <definedName name="solver_rel1" localSheetId="10" hidden="1">1</definedName>
    <definedName name="solver_rel1" localSheetId="5" hidden="1">1</definedName>
    <definedName name="solver_rel2" localSheetId="6" hidden="1">1</definedName>
    <definedName name="solver_rel2" localSheetId="7" hidden="1">1</definedName>
    <definedName name="solver_rel2" localSheetId="8" hidden="1">1</definedName>
    <definedName name="solver_rel2" localSheetId="10" hidden="1">5</definedName>
    <definedName name="solver_rel2" localSheetId="5" hidden="1">4</definedName>
    <definedName name="solver_rel3" localSheetId="6" hidden="1">5</definedName>
    <definedName name="solver_rel3" localSheetId="7" hidden="1">5</definedName>
    <definedName name="solver_rel3" localSheetId="8" hidden="1">5</definedName>
    <definedName name="solver_rel3" localSheetId="10" hidden="1">1</definedName>
    <definedName name="solver_rel3" localSheetId="5" hidden="1">1</definedName>
    <definedName name="solver_rel4" localSheetId="7" hidden="1">1</definedName>
    <definedName name="solver_rel4" localSheetId="10" hidden="1">3</definedName>
    <definedName name="solver_rel4" localSheetId="5" hidden="1">1</definedName>
    <definedName name="solver_rel5" localSheetId="7" hidden="1">5</definedName>
    <definedName name="solver_rel5" localSheetId="5" hidden="1">1</definedName>
    <definedName name="solver_rel6" localSheetId="5" hidden="1">2</definedName>
    <definedName name="solver_rhs1" localSheetId="6" hidden="1">2</definedName>
    <definedName name="solver_rhs1" localSheetId="7" hidden="1">2</definedName>
    <definedName name="solver_rhs1" localSheetId="8" hidden="1">2</definedName>
    <definedName name="solver_rhs1" localSheetId="10" hidden="1">15000</definedName>
    <definedName name="solver_rhs1" localSheetId="5" hidden="1">Shipping!$C$14</definedName>
    <definedName name="solver_rhs2" localSheetId="6" hidden="1">Capacity</definedName>
    <definedName name="solver_rhs2" localSheetId="7" hidden="1">Assign2!$B$16:$D$16</definedName>
    <definedName name="solver_rhs2" localSheetId="8" hidden="1">Assign3!$B$16:$D$16</definedName>
    <definedName name="solver_rhs2" localSheetId="10" hidden="1">"binary"</definedName>
    <definedName name="solver_rhs2" localSheetId="5" hidden="1">"integer"</definedName>
    <definedName name="solver_rhs3" localSheetId="6" hidden="1">"binary"</definedName>
    <definedName name="solver_rhs3" localSheetId="7" hidden="1">"binary"</definedName>
    <definedName name="solver_rhs3" localSheetId="8" hidden="1">"binary"</definedName>
    <definedName name="solver_rhs3" localSheetId="10" hidden="1">30</definedName>
    <definedName name="solver_rhs3" localSheetId="5" hidden="1">Shipping!$D$14</definedName>
    <definedName name="solver_rhs4" localSheetId="7" hidden="1">Assign1!#REF!</definedName>
    <definedName name="solver_rhs4" localSheetId="10" hidden="1">15</definedName>
    <definedName name="solver_rhs4" localSheetId="5" hidden="1">Shipping!$E$14</definedName>
    <definedName name="solver_rhs5" localSheetId="7" hidden="1">"binary"</definedName>
    <definedName name="solver_rhs5" localSheetId="5" hidden="1">Shipping!$F$14</definedName>
    <definedName name="solver_rhs6" localSheetId="5" hidden="1">Shipping!$H$5:$H$11</definedName>
    <definedName name="solver_rlx" localSheetId="6" hidden="1">2</definedName>
    <definedName name="solver_rlx" localSheetId="7" hidden="1">2</definedName>
    <definedName name="solver_rlx" localSheetId="8" hidden="1">2</definedName>
    <definedName name="solver_rlx" localSheetId="10" hidden="1">2</definedName>
    <definedName name="solver_rlx" localSheetId="5" hidden="1">2</definedName>
    <definedName name="solver_rsd" localSheetId="6" hidden="1">0</definedName>
    <definedName name="solver_rsd" localSheetId="7" hidden="1">0</definedName>
    <definedName name="solver_rsd" localSheetId="8" hidden="1">0</definedName>
    <definedName name="solver_rsd" localSheetId="10" hidden="1">0</definedName>
    <definedName name="solver_rsd" localSheetId="5" hidden="1">0</definedName>
    <definedName name="solver_scl" localSheetId="6" hidden="1">1</definedName>
    <definedName name="solver_scl" localSheetId="7" hidden="1">1</definedName>
    <definedName name="solver_scl" localSheetId="8" hidden="1">1</definedName>
    <definedName name="solver_scl" localSheetId="10" hidden="1">1</definedName>
    <definedName name="solver_scl" localSheetId="5" hidden="1">1</definedName>
    <definedName name="solver_sho" localSheetId="6" hidden="1">2</definedName>
    <definedName name="solver_sho" localSheetId="7" hidden="1">2</definedName>
    <definedName name="solver_sho" localSheetId="8" hidden="1">2</definedName>
    <definedName name="solver_sho" localSheetId="10" hidden="1">2</definedName>
    <definedName name="solver_sho" localSheetId="5" hidden="1">2</definedName>
    <definedName name="solver_ssz" localSheetId="6" hidden="1">100</definedName>
    <definedName name="solver_ssz" localSheetId="7" hidden="1">100</definedName>
    <definedName name="solver_ssz" localSheetId="8" hidden="1">100</definedName>
    <definedName name="solver_ssz" localSheetId="10" hidden="1">100</definedName>
    <definedName name="solver_ssz" localSheetId="5" hidden="1">100</definedName>
    <definedName name="solver_tim" localSheetId="6" hidden="1">2147483647</definedName>
    <definedName name="solver_tim" localSheetId="7" hidden="1">2147483647</definedName>
    <definedName name="solver_tim" localSheetId="8" hidden="1">2147483647</definedName>
    <definedName name="solver_tim" localSheetId="10" hidden="1">2147483647</definedName>
    <definedName name="solver_tim" localSheetId="5" hidden="1">2147483647</definedName>
    <definedName name="solver_tol" localSheetId="6" hidden="1">0.01</definedName>
    <definedName name="solver_tol" localSheetId="7" hidden="1">0.01</definedName>
    <definedName name="solver_tol" localSheetId="8" hidden="1">0.01</definedName>
    <definedName name="solver_tol" localSheetId="10" hidden="1">0.01</definedName>
    <definedName name="solver_tol" localSheetId="5" hidden="1">0.01</definedName>
    <definedName name="solver_typ" localSheetId="6" hidden="1">2</definedName>
    <definedName name="solver_typ" localSheetId="7" hidden="1">2</definedName>
    <definedName name="solver_typ" localSheetId="8" hidden="1">2</definedName>
    <definedName name="solver_typ" localSheetId="10" hidden="1">1</definedName>
    <definedName name="solver_typ" localSheetId="5" hidden="1">2</definedName>
    <definedName name="solver_val" localSheetId="6" hidden="1">0</definedName>
    <definedName name="solver_val" localSheetId="7" hidden="1">0</definedName>
    <definedName name="solver_val" localSheetId="8" hidden="1">0</definedName>
    <definedName name="solver_val" localSheetId="10" hidden="1">0</definedName>
    <definedName name="solver_val" localSheetId="5" hidden="1">0</definedName>
    <definedName name="solver_ver" localSheetId="6" hidden="1">3</definedName>
    <definedName name="solver_ver" localSheetId="7" hidden="1">3</definedName>
    <definedName name="solver_ver" localSheetId="8" hidden="1">3</definedName>
    <definedName name="solver_ver" localSheetId="10" hidden="1">3</definedName>
    <definedName name="solver_ver" localSheetId="5" hidden="1">3</definedName>
    <definedName name="SPrice">Model!$F$9:$F$11</definedName>
    <definedName name="Staff_Assigned">#REF!</definedName>
    <definedName name="Staff_Needed">#REF!</definedName>
    <definedName name="StaffAvail">#REF!</definedName>
    <definedName name="StaffDV">#REF!</definedName>
    <definedName name="StartingInv" localSheetId="9">[1]Model!$C$8:$C$16</definedName>
    <definedName name="StartingInv">[2]Model!$C$8:$C$16</definedName>
    <definedName name="StartInv">Model!$C$9:$C$11</definedName>
    <definedName name="StatusBar">#REF!</definedName>
    <definedName name="Step_Van" localSheetId="7">Assign2!#REF!</definedName>
    <definedName name="Step_Van" localSheetId="8">Assign3!#REF!</definedName>
    <definedName name="Step_Van" localSheetId="10">Assign1!$C$13:$C$18</definedName>
    <definedName name="Step_Van">Assign1!$C$7:$C$12</definedName>
    <definedName name="Step_Van1" localSheetId="7">Assign2!$C$7:$C$12</definedName>
    <definedName name="Step_Van1" localSheetId="8">Assign3!#REF!</definedName>
    <definedName name="Step_Van1">Assign1!#REF!</definedName>
    <definedName name="Step_Van2" localSheetId="7">Assign2!#REF!</definedName>
    <definedName name="Step_Van2" localSheetId="8">Assign3!$C$7:$C$12</definedName>
    <definedName name="Step_Van2">Assign1!#REF!</definedName>
    <definedName name="Store" localSheetId="9">Data!$D$9:$D$28</definedName>
    <definedName name="Store">#REF!</definedName>
    <definedName name="Store1">Data!$D$9:$D$33</definedName>
    <definedName name="StoreRange">Hidden!$D$4:$D$9</definedName>
    <definedName name="Stores">Hidden!$D$4:$D$6</definedName>
    <definedName name="TCosts">Model!$G$16</definedName>
    <definedName name="TempNumOrders">Hidden!$F$4</definedName>
    <definedName name="TempOrderStart">Hidden!$G$3</definedName>
    <definedName name="Time_per_Stop" localSheetId="7">Assign2!#REF!</definedName>
    <definedName name="Time_per_Stop" localSheetId="8">Assign3!#REF!</definedName>
    <definedName name="Time_per_Stop" localSheetId="10">Assign1!$B$24:$D$24</definedName>
    <definedName name="Time_per_Stop">Assign1!$B$18:$D$18</definedName>
    <definedName name="Time_per_Stop1" localSheetId="7">Assign2!$B$18:$D$18</definedName>
    <definedName name="Time_per_Stop1" localSheetId="8">Assign3!#REF!</definedName>
    <definedName name="Time_per_Stop1">Assign1!#REF!</definedName>
    <definedName name="Time_per_Stop2" localSheetId="7">Assign2!#REF!</definedName>
    <definedName name="Time_per_Stop2" localSheetId="8">Assign3!$B$18:$D$18</definedName>
    <definedName name="Time_per_Stop2">Assign1!#REF!</definedName>
    <definedName name="Toll_Truck" localSheetId="7">Assign2!#REF!</definedName>
    <definedName name="Toll_Truck" localSheetId="8">Assign3!#REF!</definedName>
    <definedName name="Toll_Truck">Assign1!$B$7:$B$12</definedName>
    <definedName name="Total_Assign_Cost" localSheetId="7">Assign2!#REF!</definedName>
    <definedName name="Total_Assign_Cost" localSheetId="8">Assign3!#REF!</definedName>
    <definedName name="Total_Assign_Cost">Assign1!$B$19</definedName>
    <definedName name="Total_Assign_Cost1" localSheetId="7">Assign2!$B$19</definedName>
    <definedName name="Total_Assign_Cost1" localSheetId="8">Assign3!#REF!</definedName>
    <definedName name="Total_Assign_Cost1">Assign1!#REF!</definedName>
    <definedName name="Total_Assign_Cost2" localSheetId="7">Assign2!#REF!</definedName>
    <definedName name="Total_Assign_Cost2" localSheetId="8">Assign3!$B$19</definedName>
    <definedName name="Total_Assign_Cost2">Assign1!#REF!</definedName>
    <definedName name="Total_Assign_Tiime1" localSheetId="8">Assign3!#REF!</definedName>
    <definedName name="Total_Assign_Tiime1">Assign1!#REF!</definedName>
    <definedName name="Total_Assign_Time" localSheetId="7">Assign2!#REF!</definedName>
    <definedName name="Total_Assign_Time" localSheetId="8">Assign3!#REF!</definedName>
    <definedName name="Total_Assign_Time">Assign1!$B$20</definedName>
    <definedName name="Total_Assign_Time1">Assign2!$B$20</definedName>
    <definedName name="Total_Assign_Time2" localSheetId="7">Assign2!#REF!</definedName>
    <definedName name="Total_Assign_Time2" localSheetId="8">Assign3!$B$20</definedName>
    <definedName name="Total_Assign_Time2">Assign1!#REF!</definedName>
    <definedName name="Total_Cost">#REF!</definedName>
    <definedName name="Total_Costs">#REF!</definedName>
    <definedName name="Total_Demand">#REF!</definedName>
    <definedName name="Total_From_WH">#REF!</definedName>
    <definedName name="Total_Holding">#REF!</definedName>
    <definedName name="Total_Invested">#REF!</definedName>
    <definedName name="Total_Load" localSheetId="7">Assign2!#REF!</definedName>
    <definedName name="Total_Load" localSheetId="8">Assign3!#REF!</definedName>
    <definedName name="Total_Load">Assign1!$B$14:$D$14</definedName>
    <definedName name="Total_Load1" localSheetId="7">Assign2!$B$14:$D$14</definedName>
    <definedName name="Total_Load1" localSheetId="8">Assign3!#REF!</definedName>
    <definedName name="Total_Load1">Assign1!#REF!</definedName>
    <definedName name="Total_Load2" localSheetId="7">Assign2!#REF!</definedName>
    <definedName name="Total_Load2" localSheetId="8">Assign3!$B$14:$D$14</definedName>
    <definedName name="Total_Load2">Assign1!#REF!</definedName>
    <definedName name="Total_Order">#REF!</definedName>
    <definedName name="Total_Pay_Cost">#REF!</definedName>
    <definedName name="Total_Profit">#REF!</definedName>
    <definedName name="Total_Revenue">#REF!</definedName>
    <definedName name="Total_Selected">#REF!</definedName>
    <definedName name="Total_To_City">#REF!</definedName>
    <definedName name="TotalCost">#REF!</definedName>
    <definedName name="TotalCosts" localSheetId="9">[1]Model!$G$21</definedName>
    <definedName name="TotalCosts">[2]Model!$G$21</definedName>
    <definedName name="TotalPrice" localSheetId="9">Data!$E$9:$E$28</definedName>
    <definedName name="TotalPrice">#REF!</definedName>
    <definedName name="TotalProfit">Model!$G$17</definedName>
    <definedName name="TotalRev" localSheetId="9">[1]Model!$F$19</definedName>
    <definedName name="TotalRev">[2]Model!$F$19</definedName>
    <definedName name="TotalShipCost" localSheetId="9">[1]Model!$H$19:$J$19</definedName>
    <definedName name="TotalShipCost">[2]Model!$H$19:$J$19</definedName>
    <definedName name="TotalShipped">Model!$H$13:$J$13</definedName>
    <definedName name="TRev">Model!$F$14</definedName>
    <definedName name="TruckDV" localSheetId="7">Assign2!#REF!</definedName>
    <definedName name="TruckDV" localSheetId="8">Assign3!#REF!</definedName>
    <definedName name="TruckDV">Assign1!$B$7:$D$12</definedName>
    <definedName name="TruckDV1" localSheetId="7">Assign2!$B$7:$D$12</definedName>
    <definedName name="TruckDV1" localSheetId="8">Assign3!#REF!</definedName>
    <definedName name="TruckDV1">Assign1!#REF!</definedName>
    <definedName name="TruckDV2" localSheetId="7">Assign2!#REF!</definedName>
    <definedName name="TruckDV2" localSheetId="8">Assign3!$B$7:$D$12</definedName>
    <definedName name="TruckDV2">Assign1!#REF!</definedName>
    <definedName name="TShip">Model!$H$14:$M$14</definedName>
    <definedName name="TStart">#REF!</definedName>
    <definedName name="Updated_Inventory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2" i="27" l="1"/>
  <c r="K71" i="27"/>
  <c r="K70" i="27"/>
  <c r="E36" i="27" s="1"/>
  <c r="K69" i="27"/>
  <c r="K68" i="27"/>
  <c r="K67" i="27"/>
  <c r="K66" i="27"/>
  <c r="K65" i="27"/>
  <c r="K64" i="27"/>
  <c r="K63" i="27"/>
  <c r="K62" i="27"/>
  <c r="K61" i="27"/>
  <c r="K60" i="27"/>
  <c r="K59" i="27"/>
  <c r="K58" i="27"/>
  <c r="K57" i="27"/>
  <c r="K56" i="27"/>
  <c r="E35" i="27"/>
  <c r="D34" i="27"/>
  <c r="W10" i="27" l="1"/>
  <c r="W9" i="27"/>
  <c r="P9" i="27"/>
  <c r="D10" i="26"/>
  <c r="D11" i="26"/>
  <c r="E11" i="26" s="1"/>
  <c r="D9" i="26"/>
  <c r="E9" i="26" s="1"/>
  <c r="M11" i="26"/>
  <c r="L11" i="26"/>
  <c r="K11" i="26"/>
  <c r="J11" i="26"/>
  <c r="I11" i="26"/>
  <c r="H11" i="26"/>
  <c r="H10" i="26"/>
  <c r="I10" i="26"/>
  <c r="J10" i="26"/>
  <c r="K10" i="26"/>
  <c r="L10" i="26"/>
  <c r="M10" i="26"/>
  <c r="M9" i="26"/>
  <c r="M14" i="26" s="1"/>
  <c r="L9" i="26"/>
  <c r="L13" i="26" s="1"/>
  <c r="K9" i="26"/>
  <c r="J9" i="26"/>
  <c r="I9" i="26"/>
  <c r="H9" i="26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9" i="27"/>
  <c r="E10" i="26"/>
  <c r="K9" i="27"/>
  <c r="K55" i="27"/>
  <c r="K54" i="27"/>
  <c r="K53" i="27"/>
  <c r="E33" i="27" s="1"/>
  <c r="K52" i="27"/>
  <c r="E32" i="27" s="1"/>
  <c r="K51" i="27"/>
  <c r="E31" i="27" s="1"/>
  <c r="K50" i="27"/>
  <c r="K49" i="27"/>
  <c r="K48" i="27"/>
  <c r="K47" i="27"/>
  <c r="E29" i="27" s="1"/>
  <c r="K46" i="27"/>
  <c r="K45" i="27"/>
  <c r="K44" i="27"/>
  <c r="K43" i="27"/>
  <c r="K42" i="27"/>
  <c r="K41" i="27"/>
  <c r="E27" i="27" s="1"/>
  <c r="K40" i="27"/>
  <c r="E26" i="27" s="1"/>
  <c r="K39" i="27"/>
  <c r="K38" i="27"/>
  <c r="K37" i="27"/>
  <c r="K36" i="27"/>
  <c r="K35" i="27"/>
  <c r="K34" i="27"/>
  <c r="E24" i="27" s="1"/>
  <c r="K33" i="27"/>
  <c r="E23" i="27" s="1"/>
  <c r="K32" i="27"/>
  <c r="K31" i="27"/>
  <c r="K30" i="27"/>
  <c r="K29" i="27"/>
  <c r="E21" i="27" s="1"/>
  <c r="K28" i="27"/>
  <c r="E20" i="27" s="1"/>
  <c r="K27" i="27"/>
  <c r="K26" i="27"/>
  <c r="K25" i="27"/>
  <c r="E18" i="27" s="1"/>
  <c r="K24" i="27"/>
  <c r="K23" i="27"/>
  <c r="E17" i="27" s="1"/>
  <c r="K22" i="27"/>
  <c r="E16" i="27" s="1"/>
  <c r="K21" i="27"/>
  <c r="E15" i="27" s="1"/>
  <c r="K20" i="27"/>
  <c r="K19" i="27"/>
  <c r="K18" i="27"/>
  <c r="E14" i="27" s="1"/>
  <c r="K17" i="27"/>
  <c r="K16" i="27"/>
  <c r="Q9" i="27" s="1"/>
  <c r="K15" i="27"/>
  <c r="K14" i="27"/>
  <c r="K13" i="27"/>
  <c r="K12" i="27"/>
  <c r="E11" i="27" s="1"/>
  <c r="E12" i="27"/>
  <c r="K11" i="27"/>
  <c r="K10" i="27"/>
  <c r="E22" i="27" l="1"/>
  <c r="K13" i="26"/>
  <c r="E9" i="27"/>
  <c r="E34" i="27"/>
  <c r="E28" i="27"/>
  <c r="E30" i="27"/>
  <c r="E25" i="27"/>
  <c r="E10" i="27"/>
  <c r="E19" i="27"/>
  <c r="M13" i="26"/>
  <c r="E13" i="27"/>
  <c r="K14" i="26"/>
  <c r="L14" i="26"/>
  <c r="F14" i="26"/>
  <c r="C15" i="26"/>
  <c r="C14" i="26" s="1"/>
  <c r="H14" i="26"/>
  <c r="H13" i="26"/>
  <c r="J14" i="26" l="1"/>
  <c r="J13" i="26"/>
  <c r="I13" i="26"/>
  <c r="I14" i="26"/>
  <c r="G16" i="26" l="1"/>
  <c r="G17" i="26" s="1"/>
  <c r="E4" i="21" l="1" a="1"/>
  <c r="E4" i="21" s="1"/>
  <c r="H4" i="21" s="1"/>
  <c r="F4" i="21" a="1"/>
  <c r="F4" i="21" s="1"/>
  <c r="I4" i="21" s="1"/>
  <c r="L4" i="21" a="1"/>
  <c r="L4" i="21" s="1"/>
  <c r="G21" i="21" s="1"/>
  <c r="J21" i="21" s="1"/>
  <c r="E5" i="21" a="1"/>
  <c r="E5" i="21" s="1"/>
  <c r="H5" i="21" s="1"/>
  <c r="F5" i="21" a="1"/>
  <c r="F5" i="21" s="1"/>
  <c r="I5" i="21" s="1"/>
  <c r="E6" i="21" a="1"/>
  <c r="E6" i="21" s="1"/>
  <c r="H6" i="21" s="1"/>
  <c r="F6" i="21" a="1"/>
  <c r="F6" i="21" s="1"/>
  <c r="I6" i="21" s="1"/>
  <c r="E7" i="21" a="1"/>
  <c r="E7" i="21" s="1"/>
  <c r="H7" i="21" s="1"/>
  <c r="F7" i="21" a="1"/>
  <c r="F7" i="21" s="1"/>
  <c r="I7" i="21" s="1"/>
  <c r="E8" i="21" a="1"/>
  <c r="E8" i="21" s="1"/>
  <c r="H8" i="21" s="1"/>
  <c r="F8" i="21" a="1"/>
  <c r="F8" i="21" s="1"/>
  <c r="I8" i="21" s="1"/>
  <c r="E9" i="21" a="1"/>
  <c r="E9" i="21" s="1"/>
  <c r="H9" i="21" s="1"/>
  <c r="F9" i="21" a="1"/>
  <c r="F9" i="21" s="1"/>
  <c r="I9" i="21" s="1"/>
  <c r="E10" i="21" a="1"/>
  <c r="E10" i="21" s="1"/>
  <c r="H10" i="21" s="1"/>
  <c r="F10" i="21" a="1"/>
  <c r="F10" i="21" s="1"/>
  <c r="I10" i="21" s="1"/>
  <c r="E11" i="21" a="1"/>
  <c r="E11" i="21" s="1"/>
  <c r="H11" i="21" s="1"/>
  <c r="F11" i="21" a="1"/>
  <c r="F11" i="21" s="1"/>
  <c r="I11" i="21" s="1"/>
  <c r="E12" i="21" a="1"/>
  <c r="E12" i="21" s="1"/>
  <c r="H12" i="21" s="1"/>
  <c r="F12" i="21" a="1"/>
  <c r="F12" i="21" s="1"/>
  <c r="I12" i="21" s="1"/>
  <c r="E13" i="21" a="1"/>
  <c r="E13" i="21" s="1"/>
  <c r="H13" i="21" s="1"/>
  <c r="F13" i="21" a="1"/>
  <c r="F13" i="21" s="1"/>
  <c r="I13" i="21" s="1"/>
  <c r="E14" i="21" a="1"/>
  <c r="E14" i="21" s="1"/>
  <c r="H14" i="21" s="1"/>
  <c r="F14" i="21" a="1"/>
  <c r="F14" i="21" s="1"/>
  <c r="I14" i="21" s="1"/>
  <c r="E15" i="21" a="1"/>
  <c r="E15" i="21" s="1"/>
  <c r="H15" i="21" s="1"/>
  <c r="F15" i="21" a="1"/>
  <c r="F15" i="21" s="1"/>
  <c r="I15" i="21" s="1"/>
  <c r="E16" i="21" a="1"/>
  <c r="E16" i="21" s="1"/>
  <c r="H16" i="21" s="1"/>
  <c r="F16" i="21" a="1"/>
  <c r="F16" i="21" s="1"/>
  <c r="I16" i="21" s="1"/>
  <c r="E17" i="21" a="1"/>
  <c r="E17" i="21" s="1"/>
  <c r="H17" i="21" s="1"/>
  <c r="F17" i="21" a="1"/>
  <c r="F17" i="21" s="1"/>
  <c r="I17" i="21" s="1"/>
  <c r="E18" i="21" a="1"/>
  <c r="E18" i="21" s="1"/>
  <c r="H18" i="21" s="1"/>
  <c r="F18" i="21" a="1"/>
  <c r="F18" i="21" s="1"/>
  <c r="I18" i="21" s="1"/>
  <c r="E19" i="21" a="1"/>
  <c r="E19" i="21" s="1"/>
  <c r="H19" i="21" s="1"/>
  <c r="F19" i="21" a="1"/>
  <c r="F19" i="21" s="1"/>
  <c r="I19" i="21" s="1"/>
  <c r="E20" i="21" a="1"/>
  <c r="E20" i="21" s="1"/>
  <c r="H20" i="21" s="1"/>
  <c r="F20" i="21" a="1"/>
  <c r="F20" i="21" s="1"/>
  <c r="I20" i="21" s="1"/>
  <c r="E21" i="21" a="1"/>
  <c r="E21" i="21" s="1"/>
  <c r="H21" i="21" s="1"/>
  <c r="F21" i="21" a="1"/>
  <c r="F21" i="21" s="1"/>
  <c r="I21" i="21" s="1"/>
  <c r="E22" i="21" a="1"/>
  <c r="E22" i="21" s="1"/>
  <c r="H22" i="21" s="1"/>
  <c r="F22" i="21" a="1"/>
  <c r="F22" i="21" s="1"/>
  <c r="I22" i="21" s="1"/>
  <c r="E23" i="21" a="1"/>
  <c r="E23" i="21" s="1"/>
  <c r="H23" i="21" s="1"/>
  <c r="F23" i="21" a="1"/>
  <c r="F23" i="21" s="1"/>
  <c r="I23" i="21" s="1"/>
  <c r="E24" i="21" a="1"/>
  <c r="E24" i="21" s="1"/>
  <c r="H24" i="21" s="1"/>
  <c r="F24" i="21" a="1"/>
  <c r="F24" i="21" s="1"/>
  <c r="I24" i="21" s="1"/>
  <c r="E25" i="21" a="1"/>
  <c r="E25" i="21" s="1"/>
  <c r="H25" i="21" s="1"/>
  <c r="F25" i="21" a="1"/>
  <c r="F25" i="21" s="1"/>
  <c r="I25" i="21" s="1"/>
  <c r="E26" i="21" a="1"/>
  <c r="E26" i="21" s="1"/>
  <c r="H26" i="21" s="1"/>
  <c r="F26" i="21" a="1"/>
  <c r="F26" i="21" s="1"/>
  <c r="I26" i="21" s="1"/>
  <c r="E27" i="21" a="1"/>
  <c r="E27" i="21" s="1"/>
  <c r="H27" i="21" s="1"/>
  <c r="F27" i="21" a="1"/>
  <c r="F27" i="21" s="1"/>
  <c r="I27" i="21" s="1"/>
  <c r="E28" i="21" a="1"/>
  <c r="E28" i="21" s="1"/>
  <c r="H28" i="21" s="1"/>
  <c r="F28" i="21" a="1"/>
  <c r="F28" i="21" s="1"/>
  <c r="I28" i="21" s="1"/>
  <c r="E29" i="21" a="1"/>
  <c r="E29" i="21" s="1"/>
  <c r="H29" i="21" s="1"/>
  <c r="F29" i="21" a="1"/>
  <c r="F29" i="21" s="1"/>
  <c r="I29" i="21" s="1"/>
  <c r="E30" i="21" a="1"/>
  <c r="E30" i="21" s="1"/>
  <c r="H30" i="21" s="1"/>
  <c r="F30" i="21" a="1"/>
  <c r="F30" i="21" s="1"/>
  <c r="I30" i="21" s="1"/>
  <c r="E31" i="21" a="1"/>
  <c r="E31" i="21" s="1"/>
  <c r="H31" i="21" s="1"/>
  <c r="F31" i="21" a="1"/>
  <c r="F31" i="21" s="1"/>
  <c r="I31" i="21" s="1"/>
  <c r="E32" i="21" a="1"/>
  <c r="E32" i="21" s="1"/>
  <c r="H32" i="21" s="1"/>
  <c r="F32" i="21" a="1"/>
  <c r="F32" i="21" s="1"/>
  <c r="I32" i="21" s="1"/>
  <c r="E33" i="21" a="1"/>
  <c r="E33" i="21" s="1"/>
  <c r="H33" i="21" s="1"/>
  <c r="F33" i="21" a="1"/>
  <c r="F33" i="21" s="1"/>
  <c r="I33" i="21" s="1"/>
  <c r="E37" i="21" a="1"/>
  <c r="E37" i="21" s="1"/>
  <c r="F37" i="21" a="1"/>
  <c r="F37" i="21" s="1"/>
  <c r="E4" i="20" a="1"/>
  <c r="E4" i="20" s="1"/>
  <c r="H4" i="20" s="1"/>
  <c r="F4" i="20" a="1"/>
  <c r="F4" i="20" s="1"/>
  <c r="I4" i="20" s="1"/>
  <c r="L4" i="20" a="1"/>
  <c r="L4" i="20" s="1"/>
  <c r="G17" i="20" s="1"/>
  <c r="J17" i="20" s="1"/>
  <c r="E5" i="20" a="1"/>
  <c r="E5" i="20" s="1"/>
  <c r="H5" i="20" s="1"/>
  <c r="F5" i="20" a="1"/>
  <c r="F5" i="20" s="1"/>
  <c r="I5" i="20" s="1"/>
  <c r="E6" i="20" a="1"/>
  <c r="E6" i="20" s="1"/>
  <c r="H6" i="20" s="1"/>
  <c r="F6" i="20" a="1"/>
  <c r="F6" i="20" s="1"/>
  <c r="I6" i="20" s="1"/>
  <c r="E7" i="20" a="1"/>
  <c r="E7" i="20" s="1"/>
  <c r="H7" i="20" s="1"/>
  <c r="F7" i="20" a="1"/>
  <c r="F7" i="20" s="1"/>
  <c r="I7" i="20" s="1"/>
  <c r="E8" i="20" a="1"/>
  <c r="E8" i="20" s="1"/>
  <c r="H8" i="20" s="1"/>
  <c r="F8" i="20" a="1"/>
  <c r="F8" i="20"/>
  <c r="I8" i="20" s="1"/>
  <c r="E9" i="20" a="1"/>
  <c r="E9" i="20"/>
  <c r="H9" i="20" s="1"/>
  <c r="F9" i="20" a="1"/>
  <c r="F9" i="20" s="1"/>
  <c r="I9" i="20" s="1"/>
  <c r="E10" i="20" a="1"/>
  <c r="E10" i="20" s="1"/>
  <c r="H10" i="20" s="1"/>
  <c r="F10" i="20" a="1"/>
  <c r="F10" i="20" s="1"/>
  <c r="I10" i="20" s="1"/>
  <c r="E11" i="20" a="1"/>
  <c r="E11" i="20" s="1"/>
  <c r="H11" i="20" s="1"/>
  <c r="F11" i="20" a="1"/>
  <c r="F11" i="20" s="1"/>
  <c r="I11" i="20" s="1"/>
  <c r="E12" i="20" a="1"/>
  <c r="E12" i="20" s="1"/>
  <c r="H12" i="20" s="1"/>
  <c r="F12" i="20" a="1"/>
  <c r="F12" i="20" s="1"/>
  <c r="I12" i="20" s="1"/>
  <c r="E13" i="20" a="1"/>
  <c r="E13" i="20" s="1"/>
  <c r="H13" i="20" s="1"/>
  <c r="F13" i="20" a="1"/>
  <c r="F13" i="20"/>
  <c r="I13" i="20" s="1"/>
  <c r="E14" i="20" a="1"/>
  <c r="E14" i="20" s="1"/>
  <c r="H14" i="20" s="1"/>
  <c r="F14" i="20" a="1"/>
  <c r="F14" i="20"/>
  <c r="I14" i="20" s="1"/>
  <c r="E15" i="20" a="1"/>
  <c r="E15" i="20"/>
  <c r="H15" i="20" s="1"/>
  <c r="F15" i="20" a="1"/>
  <c r="F15" i="20" s="1"/>
  <c r="I15" i="20" s="1"/>
  <c r="E16" i="20" a="1"/>
  <c r="E16" i="20" s="1"/>
  <c r="H16" i="20" s="1"/>
  <c r="F16" i="20" a="1"/>
  <c r="F16" i="20" s="1"/>
  <c r="I16" i="20" s="1"/>
  <c r="E17" i="20" a="1"/>
  <c r="E17" i="20" s="1"/>
  <c r="H17" i="20" s="1"/>
  <c r="F17" i="20" a="1"/>
  <c r="F17" i="20" s="1"/>
  <c r="I17" i="20" s="1"/>
  <c r="E18" i="20" a="1"/>
  <c r="E18" i="20"/>
  <c r="H18" i="20" s="1"/>
  <c r="F18" i="20" a="1"/>
  <c r="F18" i="20" s="1"/>
  <c r="I18" i="20" s="1"/>
  <c r="E19" i="20" a="1"/>
  <c r="E19" i="20" s="1"/>
  <c r="H19" i="20" s="1"/>
  <c r="F19" i="20" a="1"/>
  <c r="F19" i="20" s="1"/>
  <c r="I19" i="20" s="1"/>
  <c r="E20" i="20" a="1"/>
  <c r="E20" i="20" s="1"/>
  <c r="H20" i="20" s="1"/>
  <c r="F20" i="20" a="1"/>
  <c r="F20" i="20" s="1"/>
  <c r="I20" i="20" s="1"/>
  <c r="E21" i="20" a="1"/>
  <c r="E21" i="20" s="1"/>
  <c r="H21" i="20" s="1"/>
  <c r="F21" i="20" a="1"/>
  <c r="F21" i="20" s="1"/>
  <c r="I21" i="20" s="1"/>
  <c r="E22" i="20" a="1"/>
  <c r="E22" i="20" s="1"/>
  <c r="H22" i="20" s="1"/>
  <c r="F22" i="20" a="1"/>
  <c r="F22" i="20" s="1"/>
  <c r="I22" i="20" s="1"/>
  <c r="E23" i="20" a="1"/>
  <c r="E23" i="20"/>
  <c r="F23" i="20" a="1"/>
  <c r="F23" i="20"/>
  <c r="I23" i="20" s="1"/>
  <c r="H23" i="20"/>
  <c r="E24" i="20" a="1"/>
  <c r="E24" i="20" s="1"/>
  <c r="H24" i="20" s="1"/>
  <c r="F24" i="20" a="1"/>
  <c r="F24" i="20" s="1"/>
  <c r="I24" i="20" s="1"/>
  <c r="E25" i="20" a="1"/>
  <c r="E25" i="20" s="1"/>
  <c r="H25" i="20" s="1"/>
  <c r="F25" i="20" a="1"/>
  <c r="F25" i="20" s="1"/>
  <c r="I25" i="20" s="1"/>
  <c r="E26" i="20" a="1"/>
  <c r="E26" i="20" s="1"/>
  <c r="H26" i="20" s="1"/>
  <c r="F26" i="20" a="1"/>
  <c r="F26" i="20" s="1"/>
  <c r="I26" i="20" s="1"/>
  <c r="E27" i="20" a="1"/>
  <c r="E27" i="20" s="1"/>
  <c r="H27" i="20" s="1"/>
  <c r="F27" i="20" a="1"/>
  <c r="F27" i="20" s="1"/>
  <c r="I27" i="20" s="1"/>
  <c r="E28" i="20" a="1"/>
  <c r="E28" i="20"/>
  <c r="H28" i="20" s="1"/>
  <c r="F28" i="20" a="1"/>
  <c r="F28" i="20" s="1"/>
  <c r="I28" i="20" s="1"/>
  <c r="E29" i="20" a="1"/>
  <c r="E29" i="20" s="1"/>
  <c r="H29" i="20" s="1"/>
  <c r="F29" i="20" a="1"/>
  <c r="F29" i="20" s="1"/>
  <c r="I29" i="20" s="1"/>
  <c r="E30" i="20" a="1"/>
  <c r="E30" i="20" s="1"/>
  <c r="H30" i="20" s="1"/>
  <c r="F30" i="20" a="1"/>
  <c r="F30" i="20" s="1"/>
  <c r="I30" i="20" s="1"/>
  <c r="E31" i="20" a="1"/>
  <c r="E31" i="20" s="1"/>
  <c r="H31" i="20" s="1"/>
  <c r="F31" i="20" a="1"/>
  <c r="F31" i="20" s="1"/>
  <c r="I31" i="20" s="1"/>
  <c r="E32" i="20" a="1"/>
  <c r="E32" i="20" s="1"/>
  <c r="H32" i="20" s="1"/>
  <c r="F32" i="20" a="1"/>
  <c r="F32" i="20" s="1"/>
  <c r="I32" i="20" s="1"/>
  <c r="E33" i="20" a="1"/>
  <c r="E33" i="20"/>
  <c r="H33" i="20" s="1"/>
  <c r="F33" i="20" a="1"/>
  <c r="F33" i="20" s="1"/>
  <c r="I33" i="20" s="1"/>
  <c r="E37" i="20" a="1"/>
  <c r="E37" i="20" s="1"/>
  <c r="F37" i="20" a="1"/>
  <c r="F37" i="20" s="1"/>
  <c r="E6" i="19" a="1"/>
  <c r="E6" i="19" s="1"/>
  <c r="H6" i="19" s="1"/>
  <c r="F6" i="19" a="1"/>
  <c r="F6" i="19" s="1"/>
  <c r="I6" i="19" s="1"/>
  <c r="L6" i="19" a="1"/>
  <c r="L6" i="19" s="1"/>
  <c r="E7" i="19" a="1"/>
  <c r="E7" i="19" s="1"/>
  <c r="H7" i="19" s="1"/>
  <c r="F7" i="19" a="1"/>
  <c r="F7" i="19" s="1"/>
  <c r="I7" i="19" s="1"/>
  <c r="E8" i="19" a="1"/>
  <c r="E8" i="19" s="1"/>
  <c r="H8" i="19" s="1"/>
  <c r="F8" i="19" a="1"/>
  <c r="F8" i="19" s="1"/>
  <c r="I8" i="19" s="1"/>
  <c r="E9" i="19" a="1"/>
  <c r="E9" i="19" s="1"/>
  <c r="H9" i="19" s="1"/>
  <c r="F9" i="19" a="1"/>
  <c r="F9" i="19" s="1"/>
  <c r="I9" i="19" s="1"/>
  <c r="E10" i="19" a="1"/>
  <c r="E10" i="19" s="1"/>
  <c r="H10" i="19" s="1"/>
  <c r="F10" i="19" a="1"/>
  <c r="F10" i="19" s="1"/>
  <c r="I10" i="19" s="1"/>
  <c r="E11" i="19" a="1"/>
  <c r="E11" i="19" s="1"/>
  <c r="H11" i="19" s="1"/>
  <c r="F11" i="19" a="1"/>
  <c r="F11" i="19" s="1"/>
  <c r="I11" i="19" s="1"/>
  <c r="E12" i="19" a="1"/>
  <c r="E12" i="19"/>
  <c r="H12" i="19" s="1"/>
  <c r="F12" i="19" a="1"/>
  <c r="F12" i="19" s="1"/>
  <c r="I12" i="19" s="1"/>
  <c r="E13" i="19" a="1"/>
  <c r="E13" i="19" s="1"/>
  <c r="H13" i="19" s="1"/>
  <c r="F13" i="19" a="1"/>
  <c r="F13" i="19" s="1"/>
  <c r="I13" i="19" s="1"/>
  <c r="E14" i="19" a="1"/>
  <c r="E14" i="19" s="1"/>
  <c r="H14" i="19" s="1"/>
  <c r="F14" i="19" a="1"/>
  <c r="F14" i="19" s="1"/>
  <c r="I14" i="19" s="1"/>
  <c r="E15" i="19" a="1"/>
  <c r="E15" i="19" s="1"/>
  <c r="H15" i="19" s="1"/>
  <c r="F15" i="19" a="1"/>
  <c r="F15" i="19" s="1"/>
  <c r="I15" i="19" s="1"/>
  <c r="E16" i="19" a="1"/>
  <c r="E16" i="19" s="1"/>
  <c r="H16" i="19" s="1"/>
  <c r="F16" i="19" a="1"/>
  <c r="F16" i="19" s="1"/>
  <c r="I16" i="19" s="1"/>
  <c r="E17" i="19" a="1"/>
  <c r="E17" i="19" s="1"/>
  <c r="H17" i="19" s="1"/>
  <c r="F17" i="19" a="1"/>
  <c r="F17" i="19" s="1"/>
  <c r="I17" i="19" s="1"/>
  <c r="E18" i="19" a="1"/>
  <c r="E18" i="19" s="1"/>
  <c r="H18" i="19" s="1"/>
  <c r="F18" i="19" a="1"/>
  <c r="F18" i="19" s="1"/>
  <c r="I18" i="19" s="1"/>
  <c r="E19" i="19" a="1"/>
  <c r="E19" i="19" s="1"/>
  <c r="H19" i="19" s="1"/>
  <c r="F19" i="19" a="1"/>
  <c r="F19" i="19" s="1"/>
  <c r="I19" i="19" s="1"/>
  <c r="E20" i="19" a="1"/>
  <c r="E20" i="19" s="1"/>
  <c r="H20" i="19" s="1"/>
  <c r="F20" i="19" a="1"/>
  <c r="F20" i="19" s="1"/>
  <c r="I20" i="19" s="1"/>
  <c r="E21" i="19" a="1"/>
  <c r="E21" i="19" s="1"/>
  <c r="H21" i="19" s="1"/>
  <c r="F21" i="19" a="1"/>
  <c r="F21" i="19" s="1"/>
  <c r="I21" i="19" s="1"/>
  <c r="E22" i="19" a="1"/>
  <c r="E22" i="19"/>
  <c r="H22" i="19" s="1"/>
  <c r="F22" i="19" a="1"/>
  <c r="F22" i="19" s="1"/>
  <c r="I22" i="19" s="1"/>
  <c r="E23" i="19" a="1"/>
  <c r="E23" i="19" s="1"/>
  <c r="H23" i="19" s="1"/>
  <c r="F23" i="19" a="1"/>
  <c r="F23" i="19" s="1"/>
  <c r="I23" i="19" s="1"/>
  <c r="E24" i="19" a="1"/>
  <c r="E24" i="19"/>
  <c r="H24" i="19" s="1"/>
  <c r="F24" i="19" a="1"/>
  <c r="F24" i="19" s="1"/>
  <c r="I24" i="19" s="1"/>
  <c r="E25" i="19" a="1"/>
  <c r="E25" i="19" s="1"/>
  <c r="H25" i="19" s="1"/>
  <c r="F25" i="19" a="1"/>
  <c r="F25" i="19" s="1"/>
  <c r="I25" i="19" s="1"/>
  <c r="E26" i="19" a="1"/>
  <c r="E26" i="19" s="1"/>
  <c r="H26" i="19" s="1"/>
  <c r="F26" i="19" a="1"/>
  <c r="F26" i="19" s="1"/>
  <c r="I26" i="19" s="1"/>
  <c r="E27" i="19" a="1"/>
  <c r="E27" i="19" s="1"/>
  <c r="H27" i="19" s="1"/>
  <c r="F27" i="19" a="1"/>
  <c r="F27" i="19" s="1"/>
  <c r="I27" i="19" s="1"/>
  <c r="E28" i="19" a="1"/>
  <c r="E28" i="19" s="1"/>
  <c r="H28" i="19" s="1"/>
  <c r="F28" i="19" a="1"/>
  <c r="F28" i="19" s="1"/>
  <c r="I28" i="19" s="1"/>
  <c r="E29" i="19" a="1"/>
  <c r="E29" i="19"/>
  <c r="H29" i="19" s="1"/>
  <c r="F29" i="19" a="1"/>
  <c r="F29" i="19" s="1"/>
  <c r="I29" i="19" s="1"/>
  <c r="E30" i="19" a="1"/>
  <c r="E30" i="19" s="1"/>
  <c r="H30" i="19" s="1"/>
  <c r="F30" i="19" a="1"/>
  <c r="F30" i="19" s="1"/>
  <c r="I30" i="19" s="1"/>
  <c r="E31" i="19" a="1"/>
  <c r="E31" i="19" s="1"/>
  <c r="H31" i="19" s="1"/>
  <c r="F31" i="19" a="1"/>
  <c r="F31" i="19" s="1"/>
  <c r="I31" i="19" s="1"/>
  <c r="E32" i="19" a="1"/>
  <c r="E32" i="19" s="1"/>
  <c r="H32" i="19" s="1"/>
  <c r="F32" i="19" a="1"/>
  <c r="F32" i="19" s="1"/>
  <c r="I32" i="19" s="1"/>
  <c r="E33" i="19" a="1"/>
  <c r="E33" i="19" s="1"/>
  <c r="H33" i="19" s="1"/>
  <c r="F33" i="19" a="1"/>
  <c r="F33" i="19" s="1"/>
  <c r="I33" i="19" s="1"/>
  <c r="E34" i="19" a="1"/>
  <c r="E34" i="19" s="1"/>
  <c r="H34" i="19" s="1"/>
  <c r="F34" i="19" a="1"/>
  <c r="F34" i="19" s="1"/>
  <c r="I34" i="19" s="1"/>
  <c r="E35" i="19" a="1"/>
  <c r="E35" i="19" s="1"/>
  <c r="H35" i="19" s="1"/>
  <c r="F35" i="19" a="1"/>
  <c r="F35" i="19" s="1"/>
  <c r="I35" i="19" s="1"/>
  <c r="E39" i="19" a="1"/>
  <c r="E39" i="19" s="1"/>
  <c r="F39" i="19" a="1"/>
  <c r="F39" i="19" s="1"/>
  <c r="G28" i="20" l="1"/>
  <c r="J28" i="20" s="1"/>
  <c r="G15" i="19"/>
  <c r="J15" i="19" s="1"/>
  <c r="G34" i="19"/>
  <c r="J34" i="19" s="1"/>
  <c r="G10" i="19"/>
  <c r="J10" i="19" s="1"/>
  <c r="G23" i="19"/>
  <c r="J23" i="19" s="1"/>
  <c r="G10" i="21"/>
  <c r="J10" i="21" s="1"/>
  <c r="G32" i="21"/>
  <c r="J32" i="21" s="1"/>
  <c r="G19" i="21"/>
  <c r="J19" i="21" s="1"/>
  <c r="G24" i="21"/>
  <c r="J24" i="21" s="1"/>
  <c r="G30" i="21"/>
  <c r="J30" i="21" s="1"/>
  <c r="G7" i="19"/>
  <c r="J7" i="19" s="1"/>
  <c r="G18" i="19"/>
  <c r="J18" i="19" s="1"/>
  <c r="G29" i="19"/>
  <c r="J29" i="19" s="1"/>
  <c r="G35" i="19"/>
  <c r="J35" i="19" s="1"/>
  <c r="G16" i="19"/>
  <c r="J16" i="19" s="1"/>
  <c r="G11" i="19"/>
  <c r="J11" i="19" s="1"/>
  <c r="G17" i="19"/>
  <c r="J17" i="19" s="1"/>
  <c r="G9" i="19"/>
  <c r="J9" i="19" s="1"/>
  <c r="G20" i="19"/>
  <c r="J20" i="19" s="1"/>
  <c r="G13" i="19"/>
  <c r="J13" i="19" s="1"/>
  <c r="G24" i="19"/>
  <c r="J24" i="19" s="1"/>
  <c r="G27" i="19"/>
  <c r="J27" i="19" s="1"/>
  <c r="G8" i="19"/>
  <c r="J8" i="19" s="1"/>
  <c r="G19" i="19"/>
  <c r="J19" i="19" s="1"/>
  <c r="G30" i="19"/>
  <c r="J30" i="19" s="1"/>
  <c r="G22" i="19"/>
  <c r="J22" i="19" s="1"/>
  <c r="G33" i="19"/>
  <c r="J33" i="19" s="1"/>
  <c r="G6" i="19"/>
  <c r="J6" i="19" s="1"/>
  <c r="G14" i="19"/>
  <c r="J14" i="19" s="1"/>
  <c r="G25" i="19"/>
  <c r="J25" i="19" s="1"/>
  <c r="G28" i="19"/>
  <c r="J28" i="19" s="1"/>
  <c r="G31" i="19"/>
  <c r="J31" i="19" s="1"/>
  <c r="H40" i="20"/>
  <c r="G26" i="19"/>
  <c r="J26" i="19" s="1"/>
  <c r="G21" i="19"/>
  <c r="J21" i="19" s="1"/>
  <c r="I42" i="19"/>
  <c r="I40" i="20"/>
  <c r="G32" i="19"/>
  <c r="J32" i="19" s="1"/>
  <c r="G12" i="19"/>
  <c r="J12" i="19" s="1"/>
  <c r="G4" i="21"/>
  <c r="J4" i="21" s="1"/>
  <c r="G13" i="21"/>
  <c r="J13" i="21" s="1"/>
  <c r="G16" i="21"/>
  <c r="J16" i="21" s="1"/>
  <c r="G27" i="21"/>
  <c r="J27" i="21" s="1"/>
  <c r="G5" i="21"/>
  <c r="J5" i="21" s="1"/>
  <c r="G8" i="21"/>
  <c r="J8" i="21" s="1"/>
  <c r="G9" i="21"/>
  <c r="J9" i="21" s="1"/>
  <c r="G20" i="21"/>
  <c r="J20" i="21" s="1"/>
  <c r="G15" i="21"/>
  <c r="J15" i="21" s="1"/>
  <c r="G26" i="21"/>
  <c r="J26" i="21" s="1"/>
  <c r="G11" i="21"/>
  <c r="J11" i="21" s="1"/>
  <c r="G22" i="21"/>
  <c r="J22" i="21" s="1"/>
  <c r="G33" i="21"/>
  <c r="J33" i="21" s="1"/>
  <c r="G14" i="21"/>
  <c r="J14" i="21" s="1"/>
  <c r="G25" i="21"/>
  <c r="J25" i="21" s="1"/>
  <c r="G6" i="21"/>
  <c r="J6" i="21" s="1"/>
  <c r="G17" i="21"/>
  <c r="J17" i="21" s="1"/>
  <c r="G28" i="21"/>
  <c r="J28" i="21" s="1"/>
  <c r="G31" i="21"/>
  <c r="J31" i="21" s="1"/>
  <c r="G12" i="21"/>
  <c r="J12" i="21" s="1"/>
  <c r="G23" i="21"/>
  <c r="J23" i="21" s="1"/>
  <c r="G7" i="21"/>
  <c r="J7" i="21" s="1"/>
  <c r="G18" i="21"/>
  <c r="J18" i="21" s="1"/>
  <c r="G29" i="21"/>
  <c r="J29" i="21" s="1"/>
  <c r="G8" i="20"/>
  <c r="J8" i="20" s="1"/>
  <c r="G9" i="20"/>
  <c r="J9" i="20" s="1"/>
  <c r="G20" i="20"/>
  <c r="J20" i="20" s="1"/>
  <c r="G31" i="20"/>
  <c r="J31" i="20" s="1"/>
  <c r="G4" i="20"/>
  <c r="J4" i="20" s="1"/>
  <c r="G15" i="20"/>
  <c r="J15" i="20" s="1"/>
  <c r="G26" i="20"/>
  <c r="J26" i="20" s="1"/>
  <c r="G7" i="20"/>
  <c r="J7" i="20" s="1"/>
  <c r="G18" i="20"/>
  <c r="J18" i="20" s="1"/>
  <c r="G10" i="20"/>
  <c r="J10" i="20" s="1"/>
  <c r="G21" i="20"/>
  <c r="J21" i="20" s="1"/>
  <c r="G13" i="20"/>
  <c r="J13" i="20" s="1"/>
  <c r="G24" i="20"/>
  <c r="J24" i="20" s="1"/>
  <c r="G27" i="20"/>
  <c r="J27" i="20" s="1"/>
  <c r="G30" i="20"/>
  <c r="J30" i="20" s="1"/>
  <c r="G29" i="20"/>
  <c r="J29" i="20" s="1"/>
  <c r="G32" i="20"/>
  <c r="J32" i="20" s="1"/>
  <c r="G5" i="20"/>
  <c r="J5" i="20" s="1"/>
  <c r="G16" i="20"/>
  <c r="J16" i="20" s="1"/>
  <c r="G19" i="20"/>
  <c r="J19" i="20" s="1"/>
  <c r="G14" i="20"/>
  <c r="J14" i="20" s="1"/>
  <c r="G11" i="20"/>
  <c r="J11" i="20" s="1"/>
  <c r="G22" i="20"/>
  <c r="J22" i="20" s="1"/>
  <c r="G33" i="20"/>
  <c r="J33" i="20" s="1"/>
  <c r="G23" i="20"/>
  <c r="J23" i="20" s="1"/>
  <c r="G25" i="20"/>
  <c r="J25" i="20" s="1"/>
  <c r="G6" i="20"/>
  <c r="J6" i="20" s="1"/>
  <c r="I40" i="21"/>
  <c r="H42" i="19"/>
  <c r="G12" i="20"/>
  <c r="J12" i="20" s="1"/>
  <c r="H40" i="21"/>
  <c r="G5" i="18"/>
  <c r="K5" i="18"/>
  <c r="G6" i="18"/>
  <c r="G7" i="18"/>
  <c r="G8" i="18"/>
  <c r="G9" i="18"/>
  <c r="G10" i="18"/>
  <c r="C13" i="18"/>
  <c r="D13" i="18"/>
  <c r="E13" i="18"/>
  <c r="F13" i="18"/>
  <c r="K13" i="18"/>
  <c r="L13" i="18"/>
  <c r="M13" i="18"/>
  <c r="N13" i="18"/>
  <c r="J42" i="19" l="1"/>
  <c r="H43" i="19" s="1"/>
  <c r="J40" i="20"/>
  <c r="H41" i="20" s="1"/>
  <c r="J40" i="21"/>
  <c r="H41" i="21" s="1"/>
  <c r="K14" i="18"/>
  <c r="D15" i="17"/>
  <c r="C15" i="17"/>
  <c r="B15" i="17"/>
  <c r="D14" i="17"/>
  <c r="C14" i="17"/>
  <c r="B14" i="17"/>
  <c r="E12" i="17"/>
  <c r="E11" i="17"/>
  <c r="E10" i="17"/>
  <c r="E9" i="17"/>
  <c r="E8" i="17"/>
  <c r="E7" i="17"/>
  <c r="D15" i="16"/>
  <c r="C15" i="16"/>
  <c r="B15" i="16"/>
  <c r="D14" i="16"/>
  <c r="C14" i="16"/>
  <c r="B14" i="16"/>
  <c r="E12" i="16"/>
  <c r="E11" i="16"/>
  <c r="E10" i="16"/>
  <c r="E9" i="16"/>
  <c r="E8" i="16"/>
  <c r="E7" i="16"/>
  <c r="D37" i="21" l="1"/>
  <c r="G37" i="21" s="1"/>
  <c r="H42" i="21"/>
  <c r="D39" i="19"/>
  <c r="G39" i="19" s="1"/>
  <c r="H44" i="19"/>
  <c r="H42" i="20"/>
  <c r="D37" i="20"/>
  <c r="G37" i="20" s="1"/>
  <c r="B20" i="17"/>
  <c r="B20" i="16"/>
  <c r="B19" i="17"/>
  <c r="B19" i="16"/>
  <c r="D15" i="11" l="1"/>
  <c r="C15" i="11"/>
  <c r="D14" i="11"/>
  <c r="C14" i="11"/>
  <c r="B15" i="11"/>
  <c r="B14" i="11"/>
  <c r="B20" i="11" l="1"/>
  <c r="B19" i="11"/>
  <c r="E8" i="11"/>
  <c r="E9" i="11"/>
  <c r="E10" i="11"/>
  <c r="E11" i="11"/>
  <c r="E12" i="11"/>
  <c r="E7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937692D-5B7E-4C64-96DF-38F8EF8FBFF1}" name="L20importdata" type="6" refreshedVersion="8" background="1" saveData="1">
    <textPr codePage="437" firstRow="2" sourceFile="C:\Users\nickr\Downloads\L20importdata.txt" tab="0" semicolon="1">
      <textFields count="4">
        <textField type="skip"/>
        <textField/>
        <textField/>
        <textField type="skip"/>
      </textFields>
    </textPr>
  </connection>
  <connection id="2" xr16:uid="{8A04D277-59BB-49DC-AEE8-2140C31B3F57}" name="L20importdata2" type="6" refreshedVersion="8" background="1" saveData="1">
    <textPr prompt="0" firstRow="2" sourceFile="C:\Users\nickr\Downloads\L20importdata.txt" tab="0" semicolon="1">
      <textFields count="4">
        <textField type="skip"/>
        <textField/>
        <textField/>
        <textField type="skip"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<sst xmlns="http://schemas.openxmlformats.org/spreadsheetml/2006/main" count="545" uniqueCount="204">
  <si>
    <t>Week</t>
  </si>
  <si>
    <t>P1-Price</t>
  </si>
  <si>
    <t>P1-Sales</t>
  </si>
  <si>
    <t>P2-Price</t>
  </si>
  <si>
    <t>P2-Sales</t>
  </si>
  <si>
    <t>Linear (TREND)</t>
  </si>
  <si>
    <t>Exponential (GROWTH)</t>
  </si>
  <si>
    <t>ABS Error-Linear</t>
  </si>
  <si>
    <t>ABS Error-Exp</t>
  </si>
  <si>
    <t>ABS Error-Poly</t>
  </si>
  <si>
    <t>Avg Abs Error</t>
  </si>
  <si>
    <t>Min Avg Abs Error</t>
  </si>
  <si>
    <t>Best Trend</t>
  </si>
  <si>
    <t>a</t>
  </si>
  <si>
    <t>b</t>
  </si>
  <si>
    <t>c</t>
  </si>
  <si>
    <t>Best Forecast</t>
  </si>
  <si>
    <t>Linear Forecast</t>
  </si>
  <si>
    <t>Exponential Forecast</t>
  </si>
  <si>
    <t>Polynomial Forecast</t>
  </si>
  <si>
    <t>New Week</t>
  </si>
  <si>
    <t>Product</t>
  </si>
  <si>
    <t>Total Shipped</t>
  </si>
  <si>
    <t>Available Supply</t>
  </si>
  <si>
    <t>Shipping Cost</t>
  </si>
  <si>
    <t>City</t>
  </si>
  <si>
    <t>Delivered</t>
  </si>
  <si>
    <t>Demand</t>
  </si>
  <si>
    <t>Total Load</t>
  </si>
  <si>
    <t>Number Stops</t>
  </si>
  <si>
    <t>Cost per Stop</t>
  </si>
  <si>
    <t>Time per Stop</t>
  </si>
  <si>
    <t>Total Assign Cost</t>
  </si>
  <si>
    <t>Total Assign Time</t>
  </si>
  <si>
    <t>Camden, SC</t>
  </si>
  <si>
    <t>Decatur, AL</t>
  </si>
  <si>
    <t>Selmer, TN</t>
  </si>
  <si>
    <t>Louisville, KY</t>
  </si>
  <si>
    <t>Lafayette, GA</t>
  </si>
  <si>
    <t>Chatsworth, GA</t>
  </si>
  <si>
    <t>Step Van</t>
  </si>
  <si>
    <t>Cutaway Van</t>
  </si>
  <si>
    <t>Semi-Truck</t>
  </si>
  <si>
    <t>Total Capacity</t>
  </si>
  <si>
    <t>Refrigerators | Assignment of Delivery Vehicles to GE Warehouses (2 Trucks per Warehouse)</t>
  </si>
  <si>
    <t>Dishwashers | Assignment of Delivery Vehicles to GE Warehouses (2 Trucks per Warehouse)</t>
  </si>
  <si>
    <t>Microwaves | Assignment of Delivery Vehicles to GE Warehouses (2 Trucks per Warehouse)</t>
  </si>
  <si>
    <t xml:space="preserve">Total Cost </t>
  </si>
  <si>
    <t>Total Cost / Warehouse</t>
  </si>
  <si>
    <t>Total From Warehouse</t>
  </si>
  <si>
    <t>Lafayette GA</t>
  </si>
  <si>
    <t>Camden SC</t>
  </si>
  <si>
    <t>Decatur AL</t>
  </si>
  <si>
    <t>Selmer TN</t>
  </si>
  <si>
    <t>Louisville KY</t>
  </si>
  <si>
    <t>WH 4</t>
  </si>
  <si>
    <t>WH 3</t>
  </si>
  <si>
    <t xml:space="preserve">WH 2 </t>
  </si>
  <si>
    <t>WH 1</t>
  </si>
  <si>
    <t>Store Locations</t>
  </si>
  <si>
    <t>Polynomial Error</t>
  </si>
  <si>
    <t>Exponential Error</t>
  </si>
  <si>
    <t>Linear Error</t>
  </si>
  <si>
    <t>New Price</t>
  </si>
  <si>
    <t>Polynomial (Equation)</t>
  </si>
  <si>
    <t>P3-Sales</t>
  </si>
  <si>
    <t>P3-Price</t>
  </si>
  <si>
    <t>Login Information</t>
  </si>
  <si>
    <t>Username</t>
  </si>
  <si>
    <t>Password</t>
  </si>
  <si>
    <t>user1</t>
  </si>
  <si>
    <t>user2</t>
  </si>
  <si>
    <t>user3</t>
  </si>
  <si>
    <t>user4</t>
  </si>
  <si>
    <t>General Electric</t>
  </si>
  <si>
    <t>Login using your credentials</t>
  </si>
  <si>
    <t>Builing a world that works</t>
  </si>
  <si>
    <t>CUSTOMER ORDER DATA</t>
  </si>
  <si>
    <t>Enter Order #</t>
  </si>
  <si>
    <t>Customer Report</t>
  </si>
  <si>
    <t>CUSTOMERS</t>
  </si>
  <si>
    <t>ORDERS</t>
  </si>
  <si>
    <t>OrderID</t>
  </si>
  <si>
    <t>CustLast</t>
  </si>
  <si>
    <t>CustPhone</t>
  </si>
  <si>
    <t>Store</t>
  </si>
  <si>
    <t>TotalPrice</t>
  </si>
  <si>
    <t>OrderStore</t>
  </si>
  <si>
    <t>OrderProd</t>
  </si>
  <si>
    <t>OrderQ</t>
  </si>
  <si>
    <t>Price</t>
  </si>
  <si>
    <t>ORD1001</t>
  </si>
  <si>
    <t>Anderson</t>
  </si>
  <si>
    <t>P103</t>
  </si>
  <si>
    <t>ORD1002</t>
  </si>
  <si>
    <t>Bennett</t>
  </si>
  <si>
    <t>P109</t>
  </si>
  <si>
    <t>ORD1003</t>
  </si>
  <si>
    <t>Campbell</t>
  </si>
  <si>
    <t>P106</t>
  </si>
  <si>
    <t>ORD1004</t>
  </si>
  <si>
    <t>Davis</t>
  </si>
  <si>
    <t>P101</t>
  </si>
  <si>
    <t>ORD1005</t>
  </si>
  <si>
    <t>Edwards</t>
  </si>
  <si>
    <t>P107</t>
  </si>
  <si>
    <t>ORD1006</t>
  </si>
  <si>
    <t>Foster</t>
  </si>
  <si>
    <t>ORD1007</t>
  </si>
  <si>
    <t>Garcia</t>
  </si>
  <si>
    <t>P102</t>
  </si>
  <si>
    <t>ORD1008</t>
  </si>
  <si>
    <t>Harris</t>
  </si>
  <si>
    <t>ORD1009</t>
  </si>
  <si>
    <t>Iverson</t>
  </si>
  <si>
    <t>P104</t>
  </si>
  <si>
    <t>ORD1010</t>
  </si>
  <si>
    <t>Johnson</t>
  </si>
  <si>
    <t>ORD1011</t>
  </si>
  <si>
    <t>Kim</t>
  </si>
  <si>
    <t>ORD1012</t>
  </si>
  <si>
    <t>Lopez</t>
  </si>
  <si>
    <t>P105</t>
  </si>
  <si>
    <t>ORD1013</t>
  </si>
  <si>
    <t>Mitchell</t>
  </si>
  <si>
    <t>ORD1014</t>
  </si>
  <si>
    <t>Nelson</t>
  </si>
  <si>
    <t>P108</t>
  </si>
  <si>
    <t>ORD1015</t>
  </si>
  <si>
    <t>Owens</t>
  </si>
  <si>
    <t>ORD1016</t>
  </si>
  <si>
    <t>Patel</t>
  </si>
  <si>
    <t>ORD1017</t>
  </si>
  <si>
    <t>Robinson</t>
  </si>
  <si>
    <t>ORD1018</t>
  </si>
  <si>
    <t>Stewart</t>
  </si>
  <si>
    <t>ORD1019</t>
  </si>
  <si>
    <t>Turner</t>
  </si>
  <si>
    <t>ORD1020</t>
  </si>
  <si>
    <t>Young</t>
  </si>
  <si>
    <t>Select Product</t>
  </si>
  <si>
    <t>INVENTORY</t>
  </si>
  <si>
    <t>SHIPPING</t>
  </si>
  <si>
    <t>ProdID</t>
  </si>
  <si>
    <t>StartingInv</t>
  </si>
  <si>
    <t>OrdersPlaced</t>
  </si>
  <si>
    <t>RemInv</t>
  </si>
  <si>
    <t>SalesPrice</t>
  </si>
  <si>
    <t>ShipCost</t>
  </si>
  <si>
    <t>Highest orders placed</t>
  </si>
  <si>
    <t>TotalRev</t>
  </si>
  <si>
    <t>TotalShipped</t>
  </si>
  <si>
    <t>TotalShipCost</t>
  </si>
  <si>
    <t>TotalCosts</t>
  </si>
  <si>
    <t>TotalProfit</t>
  </si>
  <si>
    <t>(540) 854-2824</t>
  </si>
  <si>
    <t>(540) 225-5506</t>
  </si>
  <si>
    <t>(540) 450-4657</t>
  </si>
  <si>
    <t>(540) 342-2679</t>
  </si>
  <si>
    <t>(540) 892-9935</t>
  </si>
  <si>
    <t>(540) 289-7912</t>
  </si>
  <si>
    <t>(540) 232-1488</t>
  </si>
  <si>
    <t>(540) 295-4582</t>
  </si>
  <si>
    <t>(540) 438-9279</t>
  </si>
  <si>
    <t>(540) 816-1434</t>
  </si>
  <si>
    <t>(540) 774-4257</t>
  </si>
  <si>
    <t>(540) 933-9928</t>
  </si>
  <si>
    <t>(540) 629-4611</t>
  </si>
  <si>
    <t>(540) 659-5557</t>
  </si>
  <si>
    <t>(540) 206-3615</t>
  </si>
  <si>
    <t>(540) 914-7924</t>
  </si>
  <si>
    <t>(540) 548-5552</t>
  </si>
  <si>
    <t>(540) 359-4527</t>
  </si>
  <si>
    <t>(540) 981-6514</t>
  </si>
  <si>
    <t>(540) 304-2519</t>
  </si>
  <si>
    <t>ORD1021</t>
  </si>
  <si>
    <t>Seref</t>
  </si>
  <si>
    <t>(123) 123-1233</t>
  </si>
  <si>
    <t>ORD1022</t>
  </si>
  <si>
    <t>(234) 234-2344</t>
  </si>
  <si>
    <t>ORD1023</t>
  </si>
  <si>
    <t>Jones</t>
  </si>
  <si>
    <t>(234) 678-6782</t>
  </si>
  <si>
    <t>ORD1024</t>
  </si>
  <si>
    <t>Smith</t>
  </si>
  <si>
    <t>(987) 987-9877</t>
  </si>
  <si>
    <t>ORD1025</t>
  </si>
  <si>
    <t>Perez</t>
  </si>
  <si>
    <t>Louisville</t>
  </si>
  <si>
    <t>Selmer</t>
  </si>
  <si>
    <t>Camden</t>
  </si>
  <si>
    <t>Delivery Vehicle Assignment</t>
  </si>
  <si>
    <t>Inventory and Shipping</t>
  </si>
  <si>
    <t>Refrigerator</t>
  </si>
  <si>
    <t>Dishwasher</t>
  </si>
  <si>
    <t>Microwave</t>
  </si>
  <si>
    <t>Chatsworth</t>
  </si>
  <si>
    <t>Decatur</t>
  </si>
  <si>
    <t>Lafayette</t>
  </si>
  <si>
    <t>ORD1027</t>
  </si>
  <si>
    <t>Pressley</t>
  </si>
  <si>
    <t>(618) 960-6451</t>
  </si>
  <si>
    <t>ORD1028</t>
  </si>
  <si>
    <t>Product Shipping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</si>
</sst>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&quot;$&quot;#,##0.00"/>
    <numFmt numFmtId="165" formatCode="[&lt;=9999999]###\-####;\(###\)\ ###\-####"/>
  </numFmts>
  <fonts count="2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name val="Arial"/>
      <family val="2"/>
    </font>
    <font>
      <i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u/>
      <sz val="11"/>
      <color theme="1"/>
      <name val="Calibri"/>
      <family val="2"/>
    </font>
    <font>
      <b/>
      <i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color theme="0"/>
      <name val="Calibri"/>
      <family val="2"/>
    </font>
    <font>
      <b/>
      <sz val="26"/>
      <color theme="1"/>
      <name val="Calibri"/>
      <family val="2"/>
    </font>
    <font>
      <sz val="12"/>
      <color rgb="FFFFFFFF"/>
      <name val="Gesons-regular"/>
    </font>
    <font>
      <b/>
      <sz val="72"/>
      <color theme="0"/>
      <name val="Bahnschrift SemiBold"/>
      <family val="2"/>
    </font>
    <font>
      <b/>
      <sz val="72"/>
      <color theme="1"/>
      <name val="Calibri"/>
      <family val="2"/>
    </font>
    <font>
      <b/>
      <i/>
      <sz val="24"/>
      <color theme="0"/>
      <name val="Bahnschrift SemiBold"/>
      <family val="2"/>
    </font>
    <font>
      <b/>
      <sz val="26"/>
      <color rgb="FF0870D8"/>
      <name val="Bahnschrift SemiBold"/>
      <family val="2"/>
    </font>
    <font>
      <sz val="11"/>
      <color rgb="FF0870D8"/>
      <name val="Calibri"/>
      <family val="2"/>
    </font>
    <font>
      <b/>
      <sz val="14"/>
      <color theme="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870D8"/>
        <bgColor indexed="64"/>
      </patternFill>
    </fill>
    <fill>
      <patternFill patternType="solid">
        <fgColor rgb="FF3B73B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4181FF"/>
        <bgColor indexed="64"/>
      </patternFill>
    </fill>
    <fill>
      <patternFill patternType="solid">
        <fgColor theme="6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1"/>
      </right>
      <top/>
      <bottom/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indexed="64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 style="thin">
        <color indexed="64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4">
    <xf numFmtId="0" fontId="0" fillId="0" borderId="0"/>
    <xf numFmtId="0" fontId="3" fillId="0" borderId="0"/>
    <xf numFmtId="44" fontId="5" fillId="0" borderId="0" applyFont="0" applyFill="0" applyBorder="0" applyAlignment="0" applyProtection="0"/>
    <xf numFmtId="0" fontId="9" fillId="0" borderId="0"/>
  </cellStyleXfs>
  <cellXfs count="11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5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164" fontId="0" fillId="5" borderId="1" xfId="0" applyNumberFormat="1" applyFill="1" applyBorder="1" applyAlignment="1">
      <alignment horizontal="center"/>
    </xf>
    <xf numFmtId="0" fontId="4" fillId="0" borderId="5" xfId="0" applyFont="1" applyBorder="1" applyAlignment="1">
      <alignment horizontal="left"/>
    </xf>
    <xf numFmtId="0" fontId="4" fillId="0" borderId="0" xfId="0" applyFont="1"/>
    <xf numFmtId="0" fontId="7" fillId="7" borderId="1" xfId="0" applyFont="1" applyFill="1" applyBorder="1" applyAlignment="1">
      <alignment horizontal="left"/>
    </xf>
    <xf numFmtId="0" fontId="6" fillId="7" borderId="1" xfId="0" applyFont="1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6" fillId="7" borderId="8" xfId="0" applyFont="1" applyFill="1" applyBorder="1"/>
    <xf numFmtId="0" fontId="6" fillId="7" borderId="2" xfId="0" applyFont="1" applyFill="1" applyBorder="1"/>
    <xf numFmtId="0" fontId="6" fillId="7" borderId="1" xfId="0" applyFont="1" applyFill="1" applyBorder="1" applyAlignment="1">
      <alignment horizontal="left"/>
    </xf>
    <xf numFmtId="0" fontId="6" fillId="7" borderId="0" xfId="0" applyFont="1" applyFill="1" applyAlignment="1">
      <alignment horizontal="center"/>
    </xf>
    <xf numFmtId="164" fontId="0" fillId="9" borderId="1" xfId="0" applyNumberFormat="1" applyFill="1" applyBorder="1" applyAlignment="1">
      <alignment horizontal="center"/>
    </xf>
    <xf numFmtId="2" fontId="0" fillId="9" borderId="1" xfId="0" applyNumberFormat="1" applyFill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4" xfId="0" applyBorder="1" applyAlignment="1">
      <alignment horizontal="left"/>
    </xf>
    <xf numFmtId="2" fontId="0" fillId="0" borderId="0" xfId="0" applyNumberFormat="1" applyAlignment="1">
      <alignment horizontal="left"/>
    </xf>
    <xf numFmtId="2" fontId="0" fillId="0" borderId="1" xfId="0" applyNumberFormat="1" applyBorder="1" applyAlignment="1">
      <alignment horizontal="left"/>
    </xf>
    <xf numFmtId="0" fontId="8" fillId="0" borderId="1" xfId="0" applyFont="1" applyBorder="1" applyAlignment="1">
      <alignment horizontal="left" vertical="center" indent="1"/>
    </xf>
    <xf numFmtId="0" fontId="0" fillId="2" borderId="9" xfId="0" applyFill="1" applyBorder="1"/>
    <xf numFmtId="0" fontId="0" fillId="2" borderId="10" xfId="0" applyFill="1" applyBorder="1"/>
    <xf numFmtId="0" fontId="0" fillId="6" borderId="11" xfId="0" applyFill="1" applyBorder="1"/>
    <xf numFmtId="0" fontId="1" fillId="7" borderId="3" xfId="0" applyFont="1" applyFill="1" applyBorder="1"/>
    <xf numFmtId="164" fontId="0" fillId="0" borderId="0" xfId="0" applyNumberFormat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6" xfId="0" applyBorder="1"/>
    <xf numFmtId="0" fontId="1" fillId="7" borderId="1" xfId="0" applyFont="1" applyFill="1" applyBorder="1"/>
    <xf numFmtId="0" fontId="1" fillId="7" borderId="1" xfId="0" applyFont="1" applyFill="1" applyBorder="1" applyAlignment="1">
      <alignment horizontal="center"/>
    </xf>
    <xf numFmtId="0" fontId="0" fillId="0" borderId="14" xfId="0" applyBorder="1"/>
    <xf numFmtId="0" fontId="0" fillId="0" borderId="1" xfId="2" applyNumberFormat="1" applyFont="1" applyBorder="1"/>
    <xf numFmtId="0" fontId="0" fillId="0" borderId="1" xfId="0" applyBorder="1"/>
    <xf numFmtId="0" fontId="0" fillId="3" borderId="1" xfId="0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0" fillId="0" borderId="15" xfId="0" applyBorder="1"/>
    <xf numFmtId="0" fontId="1" fillId="8" borderId="7" xfId="0" applyFont="1" applyFill="1" applyBorder="1" applyAlignment="1">
      <alignment horizontal="center"/>
    </xf>
    <xf numFmtId="0" fontId="0" fillId="3" borderId="1" xfId="0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/>
    </xf>
    <xf numFmtId="0" fontId="0" fillId="2" borderId="16" xfId="0" applyFill="1" applyBorder="1"/>
    <xf numFmtId="0" fontId="0" fillId="6" borderId="1" xfId="0" applyFill="1" applyBorder="1"/>
    <xf numFmtId="0" fontId="0" fillId="2" borderId="17" xfId="0" applyFill="1" applyBorder="1"/>
    <xf numFmtId="0" fontId="0" fillId="2" borderId="18" xfId="0" applyFill="1" applyBorder="1"/>
    <xf numFmtId="164" fontId="0" fillId="3" borderId="1" xfId="0" applyNumberFormat="1" applyFill="1" applyBorder="1" applyAlignment="1">
      <alignment horizontal="center"/>
    </xf>
    <xf numFmtId="0" fontId="0" fillId="2" borderId="19" xfId="0" applyFill="1" applyBorder="1"/>
    <xf numFmtId="164" fontId="0" fillId="0" borderId="1" xfId="0" applyNumberFormat="1" applyBorder="1"/>
    <xf numFmtId="0" fontId="9" fillId="0" borderId="0" xfId="3"/>
    <xf numFmtId="0" fontId="10" fillId="7" borderId="0" xfId="3" applyFont="1" applyFill="1"/>
    <xf numFmtId="0" fontId="9" fillId="7" borderId="0" xfId="3" applyFill="1"/>
    <xf numFmtId="0" fontId="13" fillId="7" borderId="0" xfId="3" applyFont="1" applyFill="1"/>
    <xf numFmtId="0" fontId="14" fillId="7" borderId="0" xfId="3" applyFont="1" applyFill="1"/>
    <xf numFmtId="0" fontId="10" fillId="9" borderId="0" xfId="3" applyFont="1" applyFill="1"/>
    <xf numFmtId="0" fontId="9" fillId="9" borderId="0" xfId="3" applyFill="1"/>
    <xf numFmtId="0" fontId="11" fillId="9" borderId="0" xfId="3" applyFont="1" applyFill="1"/>
    <xf numFmtId="0" fontId="12" fillId="9" borderId="0" xfId="3" applyFont="1" applyFill="1"/>
    <xf numFmtId="0" fontId="9" fillId="9" borderId="0" xfId="3" quotePrefix="1" applyFill="1"/>
    <xf numFmtId="0" fontId="15" fillId="7" borderId="0" xfId="3" applyFont="1" applyFill="1"/>
    <xf numFmtId="0" fontId="16" fillId="9" borderId="0" xfId="0" applyFont="1" applyFill="1" applyAlignment="1">
      <alignment vertical="center" wrapText="1"/>
    </xf>
    <xf numFmtId="0" fontId="17" fillId="7" borderId="0" xfId="3" applyFont="1" applyFill="1"/>
    <xf numFmtId="0" fontId="18" fillId="7" borderId="0" xfId="3" applyFont="1" applyFill="1"/>
    <xf numFmtId="0" fontId="19" fillId="7" borderId="0" xfId="3" applyFont="1" applyFill="1"/>
    <xf numFmtId="0" fontId="20" fillId="9" borderId="0" xfId="3" applyFont="1" applyFill="1"/>
    <xf numFmtId="0" fontId="21" fillId="9" borderId="0" xfId="3" applyFont="1" applyFill="1"/>
    <xf numFmtId="0" fontId="17" fillId="9" borderId="0" xfId="3" applyFont="1" applyFill="1"/>
    <xf numFmtId="0" fontId="18" fillId="9" borderId="0" xfId="3" applyFont="1" applyFill="1"/>
    <xf numFmtId="0" fontId="15" fillId="9" borderId="0" xfId="3" applyFont="1" applyFill="1"/>
    <xf numFmtId="0" fontId="4" fillId="0" borderId="0" xfId="0" applyFont="1" applyAlignment="1">
      <alignment horizontal="left"/>
    </xf>
    <xf numFmtId="0" fontId="9" fillId="5" borderId="0" xfId="3" applyFill="1"/>
    <xf numFmtId="0" fontId="9" fillId="5" borderId="0" xfId="3" applyFill="1" applyAlignment="1">
      <alignment horizontal="center"/>
    </xf>
    <xf numFmtId="0" fontId="10" fillId="5" borderId="0" xfId="3" applyFont="1" applyFill="1"/>
    <xf numFmtId="0" fontId="10" fillId="0" borderId="0" xfId="3" applyFont="1"/>
    <xf numFmtId="0" fontId="9" fillId="5" borderId="1" xfId="3" applyFill="1" applyBorder="1"/>
    <xf numFmtId="0" fontId="9" fillId="0" borderId="1" xfId="3" applyBorder="1"/>
    <xf numFmtId="0" fontId="9" fillId="0" borderId="0" xfId="3" applyAlignment="1">
      <alignment horizontal="center"/>
    </xf>
    <xf numFmtId="0" fontId="9" fillId="9" borderId="1" xfId="3" applyFill="1" applyBorder="1"/>
    <xf numFmtId="164" fontId="9" fillId="9" borderId="1" xfId="3" applyNumberFormat="1" applyFill="1" applyBorder="1"/>
    <xf numFmtId="164" fontId="9" fillId="0" borderId="0" xfId="3" applyNumberFormat="1"/>
    <xf numFmtId="1" fontId="9" fillId="0" borderId="0" xfId="3" applyNumberFormat="1" applyAlignment="1">
      <alignment horizontal="center"/>
    </xf>
    <xf numFmtId="1" fontId="10" fillId="2" borderId="1" xfId="3" applyNumberFormat="1" applyFont="1" applyFill="1" applyBorder="1" applyAlignment="1">
      <alignment horizontal="center"/>
    </xf>
    <xf numFmtId="0" fontId="10" fillId="0" borderId="1" xfId="3" applyFont="1" applyBorder="1" applyAlignment="1">
      <alignment horizontal="center"/>
    </xf>
    <xf numFmtId="164" fontId="10" fillId="2" borderId="1" xfId="3" applyNumberFormat="1" applyFont="1" applyFill="1" applyBorder="1"/>
    <xf numFmtId="164" fontId="10" fillId="0" borderId="0" xfId="3" applyNumberFormat="1" applyFont="1"/>
    <xf numFmtId="0" fontId="9" fillId="7" borderId="0" xfId="3" applyFill="1" applyAlignment="1">
      <alignment horizontal="center"/>
    </xf>
    <xf numFmtId="0" fontId="22" fillId="7" borderId="0" xfId="3" applyFont="1" applyFill="1"/>
    <xf numFmtId="0" fontId="13" fillId="7" borderId="1" xfId="3" applyFont="1" applyFill="1" applyBorder="1"/>
    <xf numFmtId="0" fontId="10" fillId="7" borderId="0" xfId="3" applyFont="1" applyFill="1" applyAlignment="1">
      <alignment horizontal="center"/>
    </xf>
    <xf numFmtId="0" fontId="13" fillId="7" borderId="0" xfId="3" applyFont="1" applyFill="1" applyAlignment="1">
      <alignment horizontal="center"/>
    </xf>
    <xf numFmtId="0" fontId="13" fillId="7" borderId="1" xfId="3" applyFont="1" applyFill="1" applyBorder="1" applyAlignment="1">
      <alignment horizontal="center"/>
    </xf>
    <xf numFmtId="165" fontId="9" fillId="9" borderId="1" xfId="3" applyNumberFormat="1" applyFill="1" applyBorder="1"/>
    <xf numFmtId="0" fontId="9" fillId="9" borderId="1" xfId="3" applyFill="1" applyBorder="1" applyAlignment="1">
      <alignment horizontal="center"/>
    </xf>
    <xf numFmtId="0" fontId="9" fillId="10" borderId="1" xfId="3" applyFill="1" applyBorder="1"/>
    <xf numFmtId="0" fontId="9" fillId="9" borderId="0" xfId="3" applyFill="1" applyAlignment="1">
      <alignment horizontal="center"/>
    </xf>
    <xf numFmtId="0" fontId="22" fillId="0" borderId="0" xfId="3" applyFont="1"/>
    <xf numFmtId="0" fontId="14" fillId="0" borderId="0" xfId="3" applyFont="1"/>
    <xf numFmtId="0" fontId="14" fillId="7" borderId="0" xfId="3" applyFont="1" applyFill="1" applyAlignment="1">
      <alignment horizontal="center"/>
    </xf>
    <xf numFmtId="0" fontId="9" fillId="10" borderId="1" xfId="3" applyFill="1" applyBorder="1" applyAlignment="1">
      <alignment horizontal="center"/>
    </xf>
    <xf numFmtId="1" fontId="9" fillId="10" borderId="1" xfId="3" applyNumberFormat="1" applyFill="1" applyBorder="1" applyAlignment="1">
      <alignment horizontal="center"/>
    </xf>
    <xf numFmtId="0" fontId="9" fillId="11" borderId="0" xfId="3" applyFill="1"/>
    <xf numFmtId="164" fontId="9" fillId="13" borderId="1" xfId="3" applyNumberFormat="1" applyFill="1" applyBorder="1"/>
    <xf numFmtId="0" fontId="13" fillId="11" borderId="0" xfId="3" applyFont="1" applyFill="1"/>
    <xf numFmtId="0" fontId="14" fillId="11" borderId="0" xfId="3" applyFont="1" applyFill="1"/>
    <xf numFmtId="0" fontId="13" fillId="11" borderId="1" xfId="3" applyFont="1" applyFill="1" applyBorder="1"/>
    <xf numFmtId="0" fontId="10" fillId="9" borderId="1" xfId="3" applyFont="1" applyFill="1" applyBorder="1" applyAlignment="1">
      <alignment horizontal="left"/>
    </xf>
    <xf numFmtId="0" fontId="10" fillId="9" borderId="1" xfId="3" applyFont="1" applyFill="1" applyBorder="1"/>
    <xf numFmtId="0" fontId="13" fillId="12" borderId="1" xfId="3" applyFont="1" applyFill="1" applyBorder="1"/>
    <xf numFmtId="0" fontId="10" fillId="12" borderId="0" xfId="3" applyFont="1" applyFill="1"/>
    <xf numFmtId="0" fontId="9" fillId="12" borderId="0" xfId="3" applyFill="1" applyAlignment="1">
      <alignment horizontal="center"/>
    </xf>
    <xf numFmtId="0" fontId="9" fillId="9" borderId="6" xfId="3" applyFill="1" applyBorder="1"/>
    <xf numFmtId="44" fontId="0" fillId="0" borderId="0" xfId="2" applyFont="1"/>
    <xf numFmtId="44" fontId="0" fillId="0" borderId="1" xfId="2" applyFont="1" applyBorder="1" applyAlignment="1">
      <alignment horizontal="left"/>
    </xf>
  </cellXfs>
  <cellStyles count="4">
    <cellStyle name="Currency" xfId="2" builtinId="4"/>
    <cellStyle name="Normal" xfId="0" builtinId="0"/>
    <cellStyle name="Normal 2" xfId="1" xr:uid="{38492EC5-EC62-4432-BC19-A2F4FC7A968E}"/>
    <cellStyle name="Normal 3" xfId="3" xr:uid="{8BB0D05C-B748-4C59-8C4A-F605FFD581A2}"/>
  </cellStyles>
  <dxfs count="10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4181FF"/>
      <color rgb="FF0870D8"/>
      <color rgb="FF3B73B9"/>
      <color rgb="FFFFFFFF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P1</a:t>
            </a:r>
            <a:r>
              <a:rPr lang="en-US" baseline="0"/>
              <a:t> Price vs Sales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1"/>
            <c:trendlineLbl>
              <c:layout>
                <c:manualLayout>
                  <c:x val="-0.4471227034120735"/>
                  <c:y val="0.391645987695325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8224175103112111"/>
                  <c:y val="0.3958135643068393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0.29809008248968877"/>
                  <c:y val="0.3353568870877336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'P1'!$C$6:$C$35</c:f>
              <c:numCache>
                <c:formatCode>_("$"* #,##0.00_);_("$"* \(#,##0.00\);_("$"* "-"??_);_(@_)</c:formatCode>
                <c:ptCount val="30"/>
                <c:pt idx="0">
                  <c:v>1742</c:v>
                </c:pt>
                <c:pt idx="1">
                  <c:v>1789</c:v>
                </c:pt>
                <c:pt idx="2">
                  <c:v>1715</c:v>
                </c:pt>
                <c:pt idx="3">
                  <c:v>1768</c:v>
                </c:pt>
                <c:pt idx="4">
                  <c:v>1796</c:v>
                </c:pt>
                <c:pt idx="5">
                  <c:v>1723</c:v>
                </c:pt>
                <c:pt idx="6">
                  <c:v>1775</c:v>
                </c:pt>
                <c:pt idx="7">
                  <c:v>1709</c:v>
                </c:pt>
                <c:pt idx="8">
                  <c:v>1754</c:v>
                </c:pt>
                <c:pt idx="9">
                  <c:v>1731</c:v>
                </c:pt>
                <c:pt idx="10">
                  <c:v>1782</c:v>
                </c:pt>
                <c:pt idx="11">
                  <c:v>1718</c:v>
                </c:pt>
                <c:pt idx="12">
                  <c:v>1761</c:v>
                </c:pt>
                <c:pt idx="13">
                  <c:v>1799</c:v>
                </c:pt>
                <c:pt idx="14">
                  <c:v>1727</c:v>
                </c:pt>
                <c:pt idx="15">
                  <c:v>1748</c:v>
                </c:pt>
                <c:pt idx="16">
                  <c:v>1770</c:v>
                </c:pt>
                <c:pt idx="17">
                  <c:v>1704</c:v>
                </c:pt>
                <c:pt idx="18">
                  <c:v>1759</c:v>
                </c:pt>
                <c:pt idx="19">
                  <c:v>1786</c:v>
                </c:pt>
                <c:pt idx="20">
                  <c:v>1736</c:v>
                </c:pt>
                <c:pt idx="21">
                  <c:v>1712</c:v>
                </c:pt>
                <c:pt idx="22">
                  <c:v>1765</c:v>
                </c:pt>
                <c:pt idx="23">
                  <c:v>1793</c:v>
                </c:pt>
                <c:pt idx="24">
                  <c:v>1720</c:v>
                </c:pt>
                <c:pt idx="25">
                  <c:v>1745</c:v>
                </c:pt>
                <c:pt idx="26">
                  <c:v>1778</c:v>
                </c:pt>
                <c:pt idx="27">
                  <c:v>1707</c:v>
                </c:pt>
                <c:pt idx="28">
                  <c:v>1751</c:v>
                </c:pt>
                <c:pt idx="29">
                  <c:v>1780</c:v>
                </c:pt>
              </c:numCache>
            </c:numRef>
          </c:xVal>
          <c:yVal>
            <c:numRef>
              <c:f>'P1'!$D$6:$D$35</c:f>
              <c:numCache>
                <c:formatCode>General</c:formatCode>
                <c:ptCount val="30"/>
                <c:pt idx="0">
                  <c:v>9</c:v>
                </c:pt>
                <c:pt idx="1">
                  <c:v>14</c:v>
                </c:pt>
                <c:pt idx="2">
                  <c:v>6</c:v>
                </c:pt>
                <c:pt idx="3">
                  <c:v>12</c:v>
                </c:pt>
                <c:pt idx="4">
                  <c:v>8</c:v>
                </c:pt>
                <c:pt idx="5">
                  <c:v>15</c:v>
                </c:pt>
                <c:pt idx="6">
                  <c:v>7</c:v>
                </c:pt>
                <c:pt idx="7">
                  <c:v>10</c:v>
                </c:pt>
                <c:pt idx="8">
                  <c:v>13</c:v>
                </c:pt>
                <c:pt idx="9">
                  <c:v>5</c:v>
                </c:pt>
                <c:pt idx="10">
                  <c:v>11</c:v>
                </c:pt>
                <c:pt idx="11">
                  <c:v>9</c:v>
                </c:pt>
                <c:pt idx="12">
                  <c:v>14</c:v>
                </c:pt>
                <c:pt idx="13">
                  <c:v>6</c:v>
                </c:pt>
                <c:pt idx="14">
                  <c:v>12</c:v>
                </c:pt>
                <c:pt idx="15">
                  <c:v>8</c:v>
                </c:pt>
                <c:pt idx="16">
                  <c:v>15</c:v>
                </c:pt>
                <c:pt idx="17">
                  <c:v>7</c:v>
                </c:pt>
                <c:pt idx="18">
                  <c:v>10</c:v>
                </c:pt>
                <c:pt idx="19">
                  <c:v>13</c:v>
                </c:pt>
                <c:pt idx="20">
                  <c:v>5</c:v>
                </c:pt>
                <c:pt idx="21">
                  <c:v>11</c:v>
                </c:pt>
                <c:pt idx="22">
                  <c:v>9</c:v>
                </c:pt>
                <c:pt idx="23">
                  <c:v>14</c:v>
                </c:pt>
                <c:pt idx="24">
                  <c:v>6</c:v>
                </c:pt>
                <c:pt idx="25">
                  <c:v>12</c:v>
                </c:pt>
                <c:pt idx="26">
                  <c:v>8</c:v>
                </c:pt>
                <c:pt idx="27">
                  <c:v>15</c:v>
                </c:pt>
                <c:pt idx="28">
                  <c:v>7</c:v>
                </c:pt>
                <c:pt idx="29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37F-4EB9-B918-3563C4404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2432000"/>
        <c:axId val="1372439680"/>
      </c:scatterChart>
      <c:valAx>
        <c:axId val="1372432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2439680"/>
        <c:crosses val="autoZero"/>
        <c:crossBetween val="midCat"/>
      </c:valAx>
      <c:valAx>
        <c:axId val="1372439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2432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P2-Sales</a:t>
            </a:r>
            <a:r>
              <a:rPr lang="en-US" baseline="0"/>
              <a:t> v Sales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0.15204965004374454"/>
                  <c:y val="0.1610793963254593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939698162729659"/>
                  <c:y val="0.2333355205599300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1"/>
            <c:trendlineLbl>
              <c:layout>
                <c:manualLayout>
                  <c:x val="-0.27995253718285212"/>
                  <c:y val="7.548410615339749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'P2'!$C$4:$C$33</c:f>
              <c:numCache>
                <c:formatCode>_("$"* #,##0.00_);_("$"* \(#,##0.00\);_("$"* "-"??_);_(@_)</c:formatCode>
                <c:ptCount val="30"/>
                <c:pt idx="0">
                  <c:v>437</c:v>
                </c:pt>
                <c:pt idx="1">
                  <c:v>492</c:v>
                </c:pt>
                <c:pt idx="2">
                  <c:v>415</c:v>
                </c:pt>
                <c:pt idx="3">
                  <c:v>468</c:v>
                </c:pt>
                <c:pt idx="4">
                  <c:v>499</c:v>
                </c:pt>
                <c:pt idx="5">
                  <c:v>423</c:v>
                </c:pt>
                <c:pt idx="6">
                  <c:v>475</c:v>
                </c:pt>
                <c:pt idx="7">
                  <c:v>409</c:v>
                </c:pt>
                <c:pt idx="8">
                  <c:v>454</c:v>
                </c:pt>
                <c:pt idx="9">
                  <c:v>431</c:v>
                </c:pt>
                <c:pt idx="10">
                  <c:v>482</c:v>
                </c:pt>
                <c:pt idx="11">
                  <c:v>418</c:v>
                </c:pt>
                <c:pt idx="12">
                  <c:v>461</c:v>
                </c:pt>
                <c:pt idx="13">
                  <c:v>497</c:v>
                </c:pt>
                <c:pt idx="14">
                  <c:v>427</c:v>
                </c:pt>
                <c:pt idx="15">
                  <c:v>448</c:v>
                </c:pt>
                <c:pt idx="16">
                  <c:v>470</c:v>
                </c:pt>
                <c:pt idx="17">
                  <c:v>404</c:v>
                </c:pt>
                <c:pt idx="18">
                  <c:v>459</c:v>
                </c:pt>
                <c:pt idx="19">
                  <c:v>486</c:v>
                </c:pt>
                <c:pt idx="20">
                  <c:v>436</c:v>
                </c:pt>
                <c:pt idx="21">
                  <c:v>412</c:v>
                </c:pt>
                <c:pt idx="22">
                  <c:v>465</c:v>
                </c:pt>
                <c:pt idx="23">
                  <c:v>493</c:v>
                </c:pt>
                <c:pt idx="24">
                  <c:v>420</c:v>
                </c:pt>
                <c:pt idx="25">
                  <c:v>445</c:v>
                </c:pt>
                <c:pt idx="26">
                  <c:v>478</c:v>
                </c:pt>
                <c:pt idx="27">
                  <c:v>407</c:v>
                </c:pt>
                <c:pt idx="28">
                  <c:v>451</c:v>
                </c:pt>
                <c:pt idx="29">
                  <c:v>480</c:v>
                </c:pt>
              </c:numCache>
            </c:numRef>
          </c:xVal>
          <c:yVal>
            <c:numRef>
              <c:f>'P2'!$D$4:$D$33</c:f>
              <c:numCache>
                <c:formatCode>General</c:formatCode>
                <c:ptCount val="30"/>
                <c:pt idx="0">
                  <c:v>19</c:v>
                </c:pt>
                <c:pt idx="1">
                  <c:v>23</c:v>
                </c:pt>
                <c:pt idx="2">
                  <c:v>15</c:v>
                </c:pt>
                <c:pt idx="3">
                  <c:v>25</c:v>
                </c:pt>
                <c:pt idx="4">
                  <c:v>20</c:v>
                </c:pt>
                <c:pt idx="5">
                  <c:v>17</c:v>
                </c:pt>
                <c:pt idx="6">
                  <c:v>22</c:v>
                </c:pt>
                <c:pt idx="7">
                  <c:v>16</c:v>
                </c:pt>
                <c:pt idx="8">
                  <c:v>21</c:v>
                </c:pt>
                <c:pt idx="9">
                  <c:v>24</c:v>
                </c:pt>
                <c:pt idx="10">
                  <c:v>18</c:v>
                </c:pt>
                <c:pt idx="11">
                  <c:v>22</c:v>
                </c:pt>
                <c:pt idx="12">
                  <c:v>15</c:v>
                </c:pt>
                <c:pt idx="13">
                  <c:v>23</c:v>
                </c:pt>
                <c:pt idx="14">
                  <c:v>19</c:v>
                </c:pt>
                <c:pt idx="15">
                  <c:v>17</c:v>
                </c:pt>
                <c:pt idx="16">
                  <c:v>24</c:v>
                </c:pt>
                <c:pt idx="17">
                  <c:v>15</c:v>
                </c:pt>
                <c:pt idx="18">
                  <c:v>20</c:v>
                </c:pt>
                <c:pt idx="19">
                  <c:v>25</c:v>
                </c:pt>
                <c:pt idx="20">
                  <c:v>18</c:v>
                </c:pt>
                <c:pt idx="21">
                  <c:v>21</c:v>
                </c:pt>
                <c:pt idx="22">
                  <c:v>16</c:v>
                </c:pt>
                <c:pt idx="23">
                  <c:v>25</c:v>
                </c:pt>
                <c:pt idx="24">
                  <c:v>19</c:v>
                </c:pt>
                <c:pt idx="25">
                  <c:v>17</c:v>
                </c:pt>
                <c:pt idx="26">
                  <c:v>22</c:v>
                </c:pt>
                <c:pt idx="27">
                  <c:v>15</c:v>
                </c:pt>
                <c:pt idx="28">
                  <c:v>20</c:v>
                </c:pt>
                <c:pt idx="29">
                  <c:v>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B17-47BB-8563-B0C0F9238F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926928"/>
        <c:axId val="631007392"/>
      </c:scatterChart>
      <c:valAx>
        <c:axId val="467926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007392"/>
        <c:crosses val="autoZero"/>
        <c:crossBetween val="midCat"/>
      </c:valAx>
      <c:valAx>
        <c:axId val="631007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926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P3-Price</a:t>
            </a:r>
            <a:r>
              <a:rPr lang="en-US" baseline="0"/>
              <a:t> vs  Sales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0713035870516187E-2"/>
                  <c:y val="0.4029771799358413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4547681539807525"/>
                  <c:y val="0.260481554389034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1"/>
            <c:trendlineLbl>
              <c:layout>
                <c:manualLayout>
                  <c:x val="-5.3980752405949255E-3"/>
                  <c:y val="0.3225266112569262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'P3'!$C$4:$C$33</c:f>
              <c:numCache>
                <c:formatCode>_("$"* #,##0.00_);_("$"* \(#,##0.00\);_("$"* "-"??_);_(@_)</c:formatCode>
                <c:ptCount val="30"/>
                <c:pt idx="0">
                  <c:v>137</c:v>
                </c:pt>
                <c:pt idx="1">
                  <c:v>149</c:v>
                </c:pt>
                <c:pt idx="2">
                  <c:v>132</c:v>
                </c:pt>
                <c:pt idx="3">
                  <c:v>145</c:v>
                </c:pt>
                <c:pt idx="4">
                  <c:v>150</c:v>
                </c:pt>
                <c:pt idx="5">
                  <c:v>134</c:v>
                </c:pt>
                <c:pt idx="6">
                  <c:v>147</c:v>
                </c:pt>
                <c:pt idx="7">
                  <c:v>131</c:v>
                </c:pt>
                <c:pt idx="8">
                  <c:v>142</c:v>
                </c:pt>
                <c:pt idx="9">
                  <c:v>139</c:v>
                </c:pt>
                <c:pt idx="10">
                  <c:v>148</c:v>
                </c:pt>
                <c:pt idx="11">
                  <c:v>133</c:v>
                </c:pt>
                <c:pt idx="12">
                  <c:v>144</c:v>
                </c:pt>
                <c:pt idx="13">
                  <c:v>146</c:v>
                </c:pt>
                <c:pt idx="14">
                  <c:v>135</c:v>
                </c:pt>
                <c:pt idx="15">
                  <c:v>140</c:v>
                </c:pt>
                <c:pt idx="16">
                  <c:v>143</c:v>
                </c:pt>
                <c:pt idx="17">
                  <c:v>130</c:v>
                </c:pt>
                <c:pt idx="18">
                  <c:v>141</c:v>
                </c:pt>
                <c:pt idx="19">
                  <c:v>149</c:v>
                </c:pt>
                <c:pt idx="20">
                  <c:v>136</c:v>
                </c:pt>
                <c:pt idx="21">
                  <c:v>132</c:v>
                </c:pt>
                <c:pt idx="22">
                  <c:v>145</c:v>
                </c:pt>
                <c:pt idx="23">
                  <c:v>150</c:v>
                </c:pt>
                <c:pt idx="24">
                  <c:v>134</c:v>
                </c:pt>
                <c:pt idx="25">
                  <c:v>138</c:v>
                </c:pt>
                <c:pt idx="26">
                  <c:v>147</c:v>
                </c:pt>
                <c:pt idx="27">
                  <c:v>131</c:v>
                </c:pt>
                <c:pt idx="28">
                  <c:v>142</c:v>
                </c:pt>
                <c:pt idx="29">
                  <c:v>146</c:v>
                </c:pt>
              </c:numCache>
            </c:numRef>
          </c:xVal>
          <c:yVal>
            <c:numRef>
              <c:f>'P3'!$D$4:$D$33</c:f>
              <c:numCache>
                <c:formatCode>General</c:formatCode>
                <c:ptCount val="30"/>
                <c:pt idx="0">
                  <c:v>18</c:v>
                </c:pt>
                <c:pt idx="1">
                  <c:v>23</c:v>
                </c:pt>
                <c:pt idx="2">
                  <c:v>15</c:v>
                </c:pt>
                <c:pt idx="3">
                  <c:v>25</c:v>
                </c:pt>
                <c:pt idx="4">
                  <c:v>20</c:v>
                </c:pt>
                <c:pt idx="5">
                  <c:v>17</c:v>
                </c:pt>
                <c:pt idx="6">
                  <c:v>22</c:v>
                </c:pt>
                <c:pt idx="7">
                  <c:v>16</c:v>
                </c:pt>
                <c:pt idx="8">
                  <c:v>21</c:v>
                </c:pt>
                <c:pt idx="9">
                  <c:v>24</c:v>
                </c:pt>
                <c:pt idx="10">
                  <c:v>18</c:v>
                </c:pt>
                <c:pt idx="11">
                  <c:v>22</c:v>
                </c:pt>
                <c:pt idx="12">
                  <c:v>15</c:v>
                </c:pt>
                <c:pt idx="13">
                  <c:v>23</c:v>
                </c:pt>
                <c:pt idx="14">
                  <c:v>19</c:v>
                </c:pt>
                <c:pt idx="15">
                  <c:v>17</c:v>
                </c:pt>
                <c:pt idx="16">
                  <c:v>24</c:v>
                </c:pt>
                <c:pt idx="17">
                  <c:v>15</c:v>
                </c:pt>
                <c:pt idx="18">
                  <c:v>20</c:v>
                </c:pt>
                <c:pt idx="19">
                  <c:v>25</c:v>
                </c:pt>
                <c:pt idx="20">
                  <c:v>18</c:v>
                </c:pt>
                <c:pt idx="21">
                  <c:v>21</c:v>
                </c:pt>
                <c:pt idx="22">
                  <c:v>16</c:v>
                </c:pt>
                <c:pt idx="23">
                  <c:v>25</c:v>
                </c:pt>
                <c:pt idx="24">
                  <c:v>19</c:v>
                </c:pt>
                <c:pt idx="25">
                  <c:v>17</c:v>
                </c:pt>
                <c:pt idx="26">
                  <c:v>22</c:v>
                </c:pt>
                <c:pt idx="27">
                  <c:v>15</c:v>
                </c:pt>
                <c:pt idx="28">
                  <c:v>20</c:v>
                </c:pt>
                <c:pt idx="29">
                  <c:v>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C6F-4DCE-A2A5-DC6C13F85B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1363968"/>
        <c:axId val="2131347648"/>
      </c:scatterChart>
      <c:valAx>
        <c:axId val="2131363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1347648"/>
        <c:crosses val="autoZero"/>
        <c:crossBetween val="midCat"/>
      </c:valAx>
      <c:valAx>
        <c:axId val="213134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1363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21431</xdr:colOff>
      <xdr:row>7</xdr:row>
      <xdr:rowOff>14288</xdr:rowOff>
    </xdr:from>
    <xdr:to>
      <xdr:col>18</xdr:col>
      <xdr:colOff>59531</xdr:colOff>
      <xdr:row>22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5825A0C-7B2A-4DD6-AB6C-14B6C0DDCE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590550</xdr:colOff>
      <xdr:row>23</xdr:row>
      <xdr:rowOff>76200</xdr:rowOff>
    </xdr:from>
    <xdr:to>
      <xdr:col>17</xdr:col>
      <xdr:colOff>571500</xdr:colOff>
      <xdr:row>26</xdr:row>
      <xdr:rowOff>121024</xdr:rowOff>
    </xdr:to>
    <xdr:sp macro="[0]!GoToDishwasherForecast" textlink="">
      <xdr:nvSpPr>
        <xdr:cNvPr id="4" name="Arrow: Left 3">
          <a:extLst>
            <a:ext uri="{FF2B5EF4-FFF2-40B4-BE49-F238E27FC236}">
              <a16:creationId xmlns:a16="http://schemas.microsoft.com/office/drawing/2014/main" id="{4EF80D7F-B232-42FF-BCDD-533A4B4A4CD7}"/>
            </a:ext>
          </a:extLst>
        </xdr:cNvPr>
        <xdr:cNvSpPr/>
      </xdr:nvSpPr>
      <xdr:spPr>
        <a:xfrm flipH="1">
          <a:off x="12030075" y="4076700"/>
          <a:ext cx="1800225" cy="616324"/>
        </a:xfrm>
        <a:prstGeom prst="leftArrow">
          <a:avLst/>
        </a:prstGeom>
        <a:solidFill>
          <a:srgbClr val="4181FF"/>
        </a:solidFill>
        <a:ln>
          <a:noFill/>
        </a:ln>
        <a:effectLst>
          <a:softEdge rad="31750"/>
        </a:effectLst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Dishwasher Forecast</a:t>
          </a:r>
        </a:p>
      </xdr:txBody>
    </xdr:sp>
    <xdr:clientData/>
  </xdr:twoCellAnchor>
  <xdr:twoCellAnchor>
    <xdr:from>
      <xdr:col>1</xdr:col>
      <xdr:colOff>544756</xdr:colOff>
      <xdr:row>0</xdr:row>
      <xdr:rowOff>144056</xdr:rowOff>
    </xdr:from>
    <xdr:to>
      <xdr:col>3</xdr:col>
      <xdr:colOff>452718</xdr:colOff>
      <xdr:row>0</xdr:row>
      <xdr:rowOff>548192</xdr:rowOff>
    </xdr:to>
    <xdr:sp macro="[0]!UNav" textlink="">
      <xdr:nvSpPr>
        <xdr:cNvPr id="3" name="Rectangle 2">
          <a:extLst>
            <a:ext uri="{FF2B5EF4-FFF2-40B4-BE49-F238E27FC236}">
              <a16:creationId xmlns:a16="http://schemas.microsoft.com/office/drawing/2014/main" id="{2657B9E6-C222-42B6-85A9-F6934102F657}"/>
            </a:ext>
          </a:extLst>
        </xdr:cNvPr>
        <xdr:cNvSpPr/>
      </xdr:nvSpPr>
      <xdr:spPr>
        <a:xfrm>
          <a:off x="1705959" y="143209"/>
          <a:ext cx="2001769" cy="406676"/>
        </a:xfrm>
        <a:prstGeom prst="rect">
          <a:avLst/>
        </a:prstGeom>
        <a:solidFill>
          <a:srgbClr val="0870D8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Navigation</a:t>
          </a:r>
        </a:p>
      </xdr:txBody>
    </xdr:sp>
    <xdr:clientData/>
  </xdr:twoCellAnchor>
  <xdr:twoCellAnchor editAs="oneCell">
    <xdr:from>
      <xdr:col>0</xdr:col>
      <xdr:colOff>119395</xdr:colOff>
      <xdr:row>0</xdr:row>
      <xdr:rowOff>23861</xdr:rowOff>
    </xdr:from>
    <xdr:to>
      <xdr:col>1</xdr:col>
      <xdr:colOff>98214</xdr:colOff>
      <xdr:row>0</xdr:row>
      <xdr:rowOff>635865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5159782-52D0-42D0-A1E5-3163ED921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395" y="23861"/>
          <a:ext cx="618052" cy="612004"/>
        </a:xfrm>
        <a:prstGeom prst="rect">
          <a:avLst/>
        </a:prstGeom>
      </xdr:spPr>
    </xdr:pic>
    <xdr:clientData/>
  </xdr:twoCellAnchor>
  <xdr:twoCellAnchor>
    <xdr:from>
      <xdr:col>4</xdr:col>
      <xdr:colOff>367551</xdr:colOff>
      <xdr:row>0</xdr:row>
      <xdr:rowOff>157503</xdr:rowOff>
    </xdr:from>
    <xdr:to>
      <xdr:col>5</xdr:col>
      <xdr:colOff>600633</xdr:colOff>
      <xdr:row>0</xdr:row>
      <xdr:rowOff>515470</xdr:rowOff>
    </xdr:to>
    <xdr:sp macro="[0]!ExitButton" textlink="">
      <xdr:nvSpPr>
        <xdr:cNvPr id="6" name="Rectangle 5">
          <a:extLst>
            <a:ext uri="{FF2B5EF4-FFF2-40B4-BE49-F238E27FC236}">
              <a16:creationId xmlns:a16="http://schemas.microsoft.com/office/drawing/2014/main" id="{935E3681-5506-4083-9F76-6012D38F8C6A}"/>
            </a:ext>
          </a:extLst>
        </xdr:cNvPr>
        <xdr:cNvSpPr/>
      </xdr:nvSpPr>
      <xdr:spPr>
        <a:xfrm>
          <a:off x="4925158" y="157926"/>
          <a:ext cx="873161" cy="359661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Exit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600075</xdr:colOff>
      <xdr:row>6</xdr:row>
      <xdr:rowOff>4762</xdr:rowOff>
    </xdr:from>
    <xdr:to>
      <xdr:col>18</xdr:col>
      <xdr:colOff>333375</xdr:colOff>
      <xdr:row>20</xdr:row>
      <xdr:rowOff>80962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61CB94E-3F18-4738-AFFF-28D81FE69C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0</xdr:colOff>
      <xdr:row>23</xdr:row>
      <xdr:rowOff>0</xdr:rowOff>
    </xdr:from>
    <xdr:to>
      <xdr:col>17</xdr:col>
      <xdr:colOff>323850</xdr:colOff>
      <xdr:row>26</xdr:row>
      <xdr:rowOff>44824</xdr:rowOff>
    </xdr:to>
    <xdr:sp macro="[0]!GoToMicrowaveForecast" textlink="">
      <xdr:nvSpPr>
        <xdr:cNvPr id="3" name="Arrow: Left 2">
          <a:extLst>
            <a:ext uri="{FF2B5EF4-FFF2-40B4-BE49-F238E27FC236}">
              <a16:creationId xmlns:a16="http://schemas.microsoft.com/office/drawing/2014/main" id="{6B04FA7D-F0AE-414A-8B9D-A88DB4102D56}"/>
            </a:ext>
          </a:extLst>
        </xdr:cNvPr>
        <xdr:cNvSpPr/>
      </xdr:nvSpPr>
      <xdr:spPr>
        <a:xfrm flipH="1">
          <a:off x="11496675" y="4381500"/>
          <a:ext cx="1543050" cy="616324"/>
        </a:xfrm>
        <a:prstGeom prst="leftArrow">
          <a:avLst/>
        </a:prstGeom>
        <a:solidFill>
          <a:srgbClr val="4181FF"/>
        </a:solidFill>
        <a:ln>
          <a:noFill/>
        </a:ln>
        <a:effectLst>
          <a:softEdge rad="31750"/>
        </a:effectLst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Microwave Forecast</a:t>
          </a:r>
        </a:p>
      </xdr:txBody>
    </xdr:sp>
    <xdr:clientData/>
  </xdr:twoCellAnchor>
  <xdr:twoCellAnchor>
    <xdr:from>
      <xdr:col>11</xdr:col>
      <xdr:colOff>257176</xdr:colOff>
      <xdr:row>23</xdr:row>
      <xdr:rowOff>0</xdr:rowOff>
    </xdr:from>
    <xdr:to>
      <xdr:col>14</xdr:col>
      <xdr:colOff>180975</xdr:colOff>
      <xdr:row>26</xdr:row>
      <xdr:rowOff>44824</xdr:rowOff>
    </xdr:to>
    <xdr:sp macro="[0]!GoToRefridgeratorForecast" textlink="">
      <xdr:nvSpPr>
        <xdr:cNvPr id="5" name="Arrow: Left 4">
          <a:extLst>
            <a:ext uri="{FF2B5EF4-FFF2-40B4-BE49-F238E27FC236}">
              <a16:creationId xmlns:a16="http://schemas.microsoft.com/office/drawing/2014/main" id="{54984C21-383A-4B7F-B0E7-A9F0478496AA}"/>
            </a:ext>
          </a:extLst>
        </xdr:cNvPr>
        <xdr:cNvSpPr/>
      </xdr:nvSpPr>
      <xdr:spPr>
        <a:xfrm>
          <a:off x="9353551" y="4381500"/>
          <a:ext cx="1724024" cy="616324"/>
        </a:xfrm>
        <a:prstGeom prst="leftArrow">
          <a:avLst/>
        </a:prstGeom>
        <a:solidFill>
          <a:srgbClr val="4181FF"/>
        </a:solidFill>
        <a:ln>
          <a:noFill/>
        </a:ln>
        <a:effectLst>
          <a:softEdge rad="31750"/>
        </a:effectLst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Refridgerator Forecast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6</xdr:row>
      <xdr:rowOff>4762</xdr:rowOff>
    </xdr:from>
    <xdr:to>
      <xdr:col>18</xdr:col>
      <xdr:colOff>342900</xdr:colOff>
      <xdr:row>20</xdr:row>
      <xdr:rowOff>80962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6DD8AC3-2242-49D0-ACB8-878F170DDD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352424</xdr:colOff>
      <xdr:row>22</xdr:row>
      <xdr:rowOff>142875</xdr:rowOff>
    </xdr:from>
    <xdr:to>
      <xdr:col>14</xdr:col>
      <xdr:colOff>219074</xdr:colOff>
      <xdr:row>25</xdr:row>
      <xdr:rowOff>187699</xdr:rowOff>
    </xdr:to>
    <xdr:sp macro="[0]!GoToDishwasherForecast" textlink="">
      <xdr:nvSpPr>
        <xdr:cNvPr id="3" name="Arrow: Left 2">
          <a:extLst>
            <a:ext uri="{FF2B5EF4-FFF2-40B4-BE49-F238E27FC236}">
              <a16:creationId xmlns:a16="http://schemas.microsoft.com/office/drawing/2014/main" id="{79980428-6D87-4AC7-9076-3D6230E6F1A9}"/>
            </a:ext>
          </a:extLst>
        </xdr:cNvPr>
        <xdr:cNvSpPr/>
      </xdr:nvSpPr>
      <xdr:spPr>
        <a:xfrm>
          <a:off x="9839324" y="4333875"/>
          <a:ext cx="1666875" cy="616324"/>
        </a:xfrm>
        <a:prstGeom prst="leftArrow">
          <a:avLst/>
        </a:prstGeom>
        <a:solidFill>
          <a:srgbClr val="4181FF"/>
        </a:solidFill>
        <a:ln>
          <a:noFill/>
        </a:ln>
        <a:effectLst>
          <a:softEdge rad="31750"/>
        </a:effectLst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Dishwasher Forecast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238</xdr:colOff>
      <xdr:row>9</xdr:row>
      <xdr:rowOff>45959</xdr:rowOff>
    </xdr:from>
    <xdr:to>
      <xdr:col>4</xdr:col>
      <xdr:colOff>578881</xdr:colOff>
      <xdr:row>17</xdr:row>
      <xdr:rowOff>119777</xdr:rowOff>
    </xdr:to>
    <xdr:sp macro="[0]!CustButt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6A7958E-5D89-411A-8A70-2C00AD607780}"/>
            </a:ext>
          </a:extLst>
        </xdr:cNvPr>
        <xdr:cNvSpPr/>
      </xdr:nvSpPr>
      <xdr:spPr>
        <a:xfrm>
          <a:off x="655082" y="2718912"/>
          <a:ext cx="2543174" cy="1550193"/>
        </a:xfrm>
        <a:prstGeom prst="roundRect">
          <a:avLst/>
        </a:prstGeom>
        <a:solidFill>
          <a:srgbClr val="0870D8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translucentPowder">
          <a:bevelT w="152400" h="50800" prst="softRound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 b="1" cap="none" spc="50">
              <a:ln w="9525" cmpd="sng">
                <a:solidFill>
                  <a:schemeClr val="accent1"/>
                </a:solidFill>
                <a:prstDash val="solid"/>
              </a:ln>
              <a:solidFill>
                <a:srgbClr val="70AD47">
                  <a:tint val="1000"/>
                </a:srgbClr>
              </a:solidFill>
              <a:effectLst>
                <a:glow rad="38100">
                  <a:schemeClr val="accent1"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Customer</a:t>
          </a:r>
          <a:endParaRPr lang="en-US" sz="3600" b="1" cap="none" spc="50">
            <a:ln w="9525" cmpd="sng">
              <a:solidFill>
                <a:schemeClr val="accent1"/>
              </a:solidFill>
              <a:prstDash val="solid"/>
            </a:ln>
            <a:solidFill>
              <a:srgbClr val="70AD47">
                <a:tint val="1000"/>
              </a:srgbClr>
            </a:solidFill>
            <a:effectLst>
              <a:glow rad="38100">
                <a:schemeClr val="accent1">
                  <a:alpha val="40000"/>
                </a:schemeClr>
              </a:glow>
            </a:effectLst>
          </a:endParaRPr>
        </a:p>
        <a:p>
          <a:pPr algn="ctr"/>
          <a:r>
            <a:rPr lang="en-US" sz="3600" b="1" cap="none" spc="50">
              <a:ln w="9525" cmpd="sng">
                <a:solidFill>
                  <a:schemeClr val="accent1"/>
                </a:solidFill>
                <a:prstDash val="solid"/>
              </a:ln>
              <a:solidFill>
                <a:srgbClr val="70AD47">
                  <a:tint val="1000"/>
                </a:srgbClr>
              </a:solidFill>
              <a:effectLst>
                <a:glow rad="38100">
                  <a:schemeClr val="accent1"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Login</a:t>
          </a:r>
          <a:endParaRPr lang="en-US" sz="3600" b="1" cap="none" spc="50">
            <a:ln w="9525" cmpd="sng">
              <a:solidFill>
                <a:schemeClr val="accent1"/>
              </a:solidFill>
              <a:prstDash val="solid"/>
            </a:ln>
            <a:solidFill>
              <a:srgbClr val="70AD47">
                <a:tint val="1000"/>
              </a:srgbClr>
            </a:solidFill>
            <a:effectLst>
              <a:glow rad="38100">
                <a:schemeClr val="accent1">
                  <a:alpha val="40000"/>
                </a:schemeClr>
              </a:glow>
            </a:effectLst>
          </a:endParaRPr>
        </a:p>
      </xdr:txBody>
    </xdr:sp>
    <xdr:clientData/>
  </xdr:twoCellAnchor>
  <xdr:twoCellAnchor editAs="oneCell">
    <xdr:from>
      <xdr:col>12</xdr:col>
      <xdr:colOff>96892</xdr:colOff>
      <xdr:row>3</xdr:row>
      <xdr:rowOff>162108</xdr:rowOff>
    </xdr:from>
    <xdr:to>
      <xdr:col>19</xdr:col>
      <xdr:colOff>375047</xdr:colOff>
      <xdr:row>29</xdr:row>
      <xdr:rowOff>51418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B34E30F-E10F-558C-726D-396819F756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5017" y="1507514"/>
          <a:ext cx="4862061" cy="4907796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5</xdr:col>
      <xdr:colOff>616109</xdr:colOff>
      <xdr:row>9</xdr:row>
      <xdr:rowOff>68501</xdr:rowOff>
    </xdr:from>
    <xdr:to>
      <xdr:col>9</xdr:col>
      <xdr:colOff>539908</xdr:colOff>
      <xdr:row>17</xdr:row>
      <xdr:rowOff>142319</xdr:rowOff>
    </xdr:to>
    <xdr:sp macro="[0]!MLoginButton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64FD4825-F718-4A84-9763-CA6DC93A241D}"/>
            </a:ext>
          </a:extLst>
        </xdr:cNvPr>
        <xdr:cNvSpPr/>
      </xdr:nvSpPr>
      <xdr:spPr>
        <a:xfrm>
          <a:off x="3904191" y="3466186"/>
          <a:ext cx="2554265" cy="1535188"/>
        </a:xfrm>
        <a:prstGeom prst="roundRect">
          <a:avLst/>
        </a:prstGeom>
        <a:solidFill>
          <a:srgbClr val="0870D8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translucentPowder">
          <a:bevelT w="152400" h="50800" prst="softRound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Manager</a:t>
          </a:r>
        </a:p>
        <a:p>
          <a:pPr algn="ctr"/>
          <a:r>
            <a:rPr lang="en-US" sz="36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Login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544756</xdr:colOff>
      <xdr:row>0</xdr:row>
      <xdr:rowOff>144056</xdr:rowOff>
    </xdr:from>
    <xdr:to>
      <xdr:col>3</xdr:col>
      <xdr:colOff>452718</xdr:colOff>
      <xdr:row>0</xdr:row>
      <xdr:rowOff>548192</xdr:rowOff>
    </xdr:to>
    <xdr:sp macro="[0]!UNav" textlink="">
      <xdr:nvSpPr>
        <xdr:cNvPr id="3" name="Rectangle 2">
          <a:extLst>
            <a:ext uri="{FF2B5EF4-FFF2-40B4-BE49-F238E27FC236}">
              <a16:creationId xmlns:a16="http://schemas.microsoft.com/office/drawing/2014/main" id="{816D512E-65A7-405C-9039-610D2A1AED1C}"/>
            </a:ext>
          </a:extLst>
        </xdr:cNvPr>
        <xdr:cNvSpPr/>
      </xdr:nvSpPr>
      <xdr:spPr>
        <a:xfrm>
          <a:off x="1706806" y="144056"/>
          <a:ext cx="1995842" cy="404136"/>
        </a:xfrm>
        <a:prstGeom prst="rect">
          <a:avLst/>
        </a:prstGeom>
        <a:solidFill>
          <a:srgbClr val="0870D8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Navigation</a:t>
          </a:r>
        </a:p>
      </xdr:txBody>
    </xdr:sp>
    <xdr:clientData/>
  </xdr:twoCellAnchor>
  <xdr:twoCellAnchor>
    <xdr:from>
      <xdr:col>4</xdr:col>
      <xdr:colOff>367551</xdr:colOff>
      <xdr:row>0</xdr:row>
      <xdr:rowOff>157503</xdr:rowOff>
    </xdr:from>
    <xdr:to>
      <xdr:col>5</xdr:col>
      <xdr:colOff>600633</xdr:colOff>
      <xdr:row>0</xdr:row>
      <xdr:rowOff>515470</xdr:rowOff>
    </xdr:to>
    <xdr:sp macro="[0]!ExitButton" textlink="">
      <xdr:nvSpPr>
        <xdr:cNvPr id="5" name="Rectangle 4">
          <a:extLst>
            <a:ext uri="{FF2B5EF4-FFF2-40B4-BE49-F238E27FC236}">
              <a16:creationId xmlns:a16="http://schemas.microsoft.com/office/drawing/2014/main" id="{52879D5A-D005-4B0F-A9F4-7F4FA948456F}"/>
            </a:ext>
          </a:extLst>
        </xdr:cNvPr>
        <xdr:cNvSpPr/>
      </xdr:nvSpPr>
      <xdr:spPr>
        <a:xfrm>
          <a:off x="4916691" y="157503"/>
          <a:ext cx="873162" cy="357967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Exit</a:t>
          </a:r>
        </a:p>
      </xdr:txBody>
    </xdr:sp>
    <xdr:clientData/>
  </xdr:twoCellAnchor>
  <xdr:twoCellAnchor editAs="oneCell">
    <xdr:from>
      <xdr:col>0</xdr:col>
      <xdr:colOff>240030</xdr:colOff>
      <xdr:row>0</xdr:row>
      <xdr:rowOff>45720</xdr:rowOff>
    </xdr:from>
    <xdr:to>
      <xdr:col>0</xdr:col>
      <xdr:colOff>819150</xdr:colOff>
      <xdr:row>0</xdr:row>
      <xdr:rowOff>622052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2AB4F6DC-C37F-42A7-80E8-A1419FE434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030" y="45720"/>
          <a:ext cx="579120" cy="57633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544756</xdr:colOff>
      <xdr:row>0</xdr:row>
      <xdr:rowOff>144056</xdr:rowOff>
    </xdr:from>
    <xdr:to>
      <xdr:col>3</xdr:col>
      <xdr:colOff>452718</xdr:colOff>
      <xdr:row>0</xdr:row>
      <xdr:rowOff>548192</xdr:rowOff>
    </xdr:to>
    <xdr:sp macro="[0]!UNav" textlink="">
      <xdr:nvSpPr>
        <xdr:cNvPr id="5" name="Rectangle 4">
          <a:extLst>
            <a:ext uri="{FF2B5EF4-FFF2-40B4-BE49-F238E27FC236}">
              <a16:creationId xmlns:a16="http://schemas.microsoft.com/office/drawing/2014/main" id="{B1032708-89F4-41FF-81C3-37F7D1D68975}"/>
            </a:ext>
          </a:extLst>
        </xdr:cNvPr>
        <xdr:cNvSpPr/>
      </xdr:nvSpPr>
      <xdr:spPr>
        <a:xfrm>
          <a:off x="1705959" y="143209"/>
          <a:ext cx="1997536" cy="406676"/>
        </a:xfrm>
        <a:prstGeom prst="rect">
          <a:avLst/>
        </a:prstGeom>
        <a:solidFill>
          <a:srgbClr val="0870D8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Navigation</a:t>
          </a:r>
        </a:p>
      </xdr:txBody>
    </xdr:sp>
    <xdr:clientData/>
  </xdr:twoCellAnchor>
  <xdr:twoCellAnchor>
    <xdr:from>
      <xdr:col>4</xdr:col>
      <xdr:colOff>367551</xdr:colOff>
      <xdr:row>0</xdr:row>
      <xdr:rowOff>157503</xdr:rowOff>
    </xdr:from>
    <xdr:to>
      <xdr:col>5</xdr:col>
      <xdr:colOff>600633</xdr:colOff>
      <xdr:row>0</xdr:row>
      <xdr:rowOff>515470</xdr:rowOff>
    </xdr:to>
    <xdr:sp macro="[0]!ExitButton" textlink="">
      <xdr:nvSpPr>
        <xdr:cNvPr id="7" name="Rectangle 6">
          <a:extLst>
            <a:ext uri="{FF2B5EF4-FFF2-40B4-BE49-F238E27FC236}">
              <a16:creationId xmlns:a16="http://schemas.microsoft.com/office/drawing/2014/main" id="{7A873269-D15D-416C-91DA-EB4F307F9CFC}"/>
            </a:ext>
          </a:extLst>
        </xdr:cNvPr>
        <xdr:cNvSpPr/>
      </xdr:nvSpPr>
      <xdr:spPr>
        <a:xfrm>
          <a:off x="4920925" y="157926"/>
          <a:ext cx="873161" cy="359661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Exit</a:t>
          </a:r>
        </a:p>
      </xdr:txBody>
    </xdr:sp>
    <xdr:clientData/>
  </xdr:twoCellAnchor>
  <xdr:twoCellAnchor editAs="oneCell">
    <xdr:from>
      <xdr:col>0</xdr:col>
      <xdr:colOff>270933</xdr:colOff>
      <xdr:row>0</xdr:row>
      <xdr:rowOff>29633</xdr:rowOff>
    </xdr:from>
    <xdr:to>
      <xdr:col>1</xdr:col>
      <xdr:colOff>268231</xdr:colOff>
      <xdr:row>0</xdr:row>
      <xdr:rowOff>667758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C6B94FAA-6E53-4C01-8060-126E8C9E0F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0933" y="29633"/>
          <a:ext cx="636531" cy="633891"/>
        </a:xfrm>
        <a:prstGeom prst="rect">
          <a:avLst/>
        </a:prstGeom>
      </xdr:spPr>
    </xdr:pic>
    <xdr:clientData/>
  </xdr:twoCellAnchor>
  <xdr:twoCellAnchor>
    <xdr:from>
      <xdr:col>9</xdr:col>
      <xdr:colOff>320040</xdr:colOff>
      <xdr:row>14</xdr:row>
      <xdr:rowOff>167640</xdr:rowOff>
    </xdr:from>
    <xdr:to>
      <xdr:col>9</xdr:col>
      <xdr:colOff>998220</xdr:colOff>
      <xdr:row>16</xdr:row>
      <xdr:rowOff>137160</xdr:rowOff>
    </xdr:to>
    <xdr:sp macro="[0]!SolveShipping" textlink="">
      <xdr:nvSpPr>
        <xdr:cNvPr id="2" name="Rectangle 1">
          <a:extLst>
            <a:ext uri="{FF2B5EF4-FFF2-40B4-BE49-F238E27FC236}">
              <a16:creationId xmlns:a16="http://schemas.microsoft.com/office/drawing/2014/main" id="{55B1DB6A-B84E-9D70-C02F-6742F52CEE00}"/>
            </a:ext>
          </a:extLst>
        </xdr:cNvPr>
        <xdr:cNvSpPr/>
      </xdr:nvSpPr>
      <xdr:spPr>
        <a:xfrm>
          <a:off x="6705600" y="3268980"/>
          <a:ext cx="678180" cy="335280"/>
        </a:xfrm>
        <a:prstGeom prst="rect">
          <a:avLst/>
        </a:prstGeom>
        <a:solidFill>
          <a:srgbClr val="0870D8"/>
        </a:solidFill>
        <a:ln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Solve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629279</xdr:colOff>
      <xdr:row>4</xdr:row>
      <xdr:rowOff>25842</xdr:rowOff>
    </xdr:from>
    <xdr:to>
      <xdr:col>9</xdr:col>
      <xdr:colOff>245733</xdr:colOff>
      <xdr:row>11</xdr:row>
      <xdr:rowOff>5402</xdr:rowOff>
    </xdr:to>
    <xdr:sp macro="[0]!GoToRefridgerator" textlink="">
      <xdr:nvSpPr>
        <xdr:cNvPr id="2" name="Rectangle 1">
          <a:extLst>
            <a:ext uri="{FF2B5EF4-FFF2-40B4-BE49-F238E27FC236}">
              <a16:creationId xmlns:a16="http://schemas.microsoft.com/office/drawing/2014/main" id="{4241B465-D648-40ED-9AC5-30147AB1074F}"/>
            </a:ext>
          </a:extLst>
        </xdr:cNvPr>
        <xdr:cNvSpPr/>
      </xdr:nvSpPr>
      <xdr:spPr>
        <a:xfrm>
          <a:off x="6461318" y="1071724"/>
          <a:ext cx="1528924" cy="1269482"/>
        </a:xfrm>
        <a:prstGeom prst="rect">
          <a:avLst/>
        </a:prstGeom>
        <a:solidFill>
          <a:srgbClr val="0870D8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Solve Refrigerator Assignment</a:t>
          </a:r>
        </a:p>
      </xdr:txBody>
    </xdr:sp>
    <xdr:clientData/>
  </xdr:twoCellAnchor>
  <xdr:twoCellAnchor>
    <xdr:from>
      <xdr:col>1</xdr:col>
      <xdr:colOff>544756</xdr:colOff>
      <xdr:row>0</xdr:row>
      <xdr:rowOff>144056</xdr:rowOff>
    </xdr:from>
    <xdr:to>
      <xdr:col>3</xdr:col>
      <xdr:colOff>452718</xdr:colOff>
      <xdr:row>0</xdr:row>
      <xdr:rowOff>548192</xdr:rowOff>
    </xdr:to>
    <xdr:sp macro="[0]!UNav" textlink="">
      <xdr:nvSpPr>
        <xdr:cNvPr id="3" name="Rectangle 2">
          <a:extLst>
            <a:ext uri="{FF2B5EF4-FFF2-40B4-BE49-F238E27FC236}">
              <a16:creationId xmlns:a16="http://schemas.microsoft.com/office/drawing/2014/main" id="{5C7A8997-F1FF-4D79-8D15-F1CAEFE6ECA9}"/>
            </a:ext>
          </a:extLst>
        </xdr:cNvPr>
        <xdr:cNvSpPr/>
      </xdr:nvSpPr>
      <xdr:spPr>
        <a:xfrm>
          <a:off x="1705685" y="144056"/>
          <a:ext cx="1996739" cy="404136"/>
        </a:xfrm>
        <a:prstGeom prst="rect">
          <a:avLst/>
        </a:prstGeom>
        <a:solidFill>
          <a:srgbClr val="0870D8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Navigation</a:t>
          </a:r>
        </a:p>
      </xdr:txBody>
    </xdr:sp>
    <xdr:clientData/>
  </xdr:twoCellAnchor>
  <xdr:twoCellAnchor editAs="oneCell">
    <xdr:from>
      <xdr:col>0</xdr:col>
      <xdr:colOff>261212</xdr:colOff>
      <xdr:row>0</xdr:row>
      <xdr:rowOff>17931</xdr:rowOff>
    </xdr:from>
    <xdr:to>
      <xdr:col>0</xdr:col>
      <xdr:colOff>896473</xdr:colOff>
      <xdr:row>0</xdr:row>
      <xdr:rowOff>654362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2EF67C7-C2E8-44D4-9CBF-A629976F4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212" y="17931"/>
          <a:ext cx="635258" cy="632200"/>
        </a:xfrm>
        <a:prstGeom prst="rect">
          <a:avLst/>
        </a:prstGeom>
      </xdr:spPr>
    </xdr:pic>
    <xdr:clientData/>
  </xdr:twoCellAnchor>
  <xdr:twoCellAnchor>
    <xdr:from>
      <xdr:col>4</xdr:col>
      <xdr:colOff>367551</xdr:colOff>
      <xdr:row>0</xdr:row>
      <xdr:rowOff>157503</xdr:rowOff>
    </xdr:from>
    <xdr:to>
      <xdr:col>5</xdr:col>
      <xdr:colOff>600633</xdr:colOff>
      <xdr:row>0</xdr:row>
      <xdr:rowOff>515470</xdr:rowOff>
    </xdr:to>
    <xdr:sp macro="[0]!ExitButton" textlink="">
      <xdr:nvSpPr>
        <xdr:cNvPr id="7" name="Rectangle 6">
          <a:extLst>
            <a:ext uri="{FF2B5EF4-FFF2-40B4-BE49-F238E27FC236}">
              <a16:creationId xmlns:a16="http://schemas.microsoft.com/office/drawing/2014/main" id="{BC5DA395-8F3A-4A36-8CE1-9AC65802D243}"/>
            </a:ext>
          </a:extLst>
        </xdr:cNvPr>
        <xdr:cNvSpPr/>
      </xdr:nvSpPr>
      <xdr:spPr>
        <a:xfrm>
          <a:off x="4917139" y="157503"/>
          <a:ext cx="874059" cy="357967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Exit</a:t>
          </a:r>
        </a:p>
      </xdr:txBody>
    </xdr:sp>
    <xdr:clientData/>
  </xdr:twoCellAnchor>
  <xdr:twoCellAnchor>
    <xdr:from>
      <xdr:col>3</xdr:col>
      <xdr:colOff>726141</xdr:colOff>
      <xdr:row>23</xdr:row>
      <xdr:rowOff>44824</xdr:rowOff>
    </xdr:from>
    <xdr:to>
      <xdr:col>6</xdr:col>
      <xdr:colOff>89647</xdr:colOff>
      <xdr:row>26</xdr:row>
      <xdr:rowOff>143435</xdr:rowOff>
    </xdr:to>
    <xdr:sp macro="[0]!GoToDishwasher" textlink="">
      <xdr:nvSpPr>
        <xdr:cNvPr id="8" name="Arrow: Right 7">
          <a:extLst>
            <a:ext uri="{FF2B5EF4-FFF2-40B4-BE49-F238E27FC236}">
              <a16:creationId xmlns:a16="http://schemas.microsoft.com/office/drawing/2014/main" id="{D3D42026-E9C6-4F7A-B7FE-A6450DCFB4C5}"/>
            </a:ext>
          </a:extLst>
        </xdr:cNvPr>
        <xdr:cNvSpPr/>
      </xdr:nvSpPr>
      <xdr:spPr>
        <a:xfrm>
          <a:off x="3801035" y="4724400"/>
          <a:ext cx="1819836" cy="636494"/>
        </a:xfrm>
        <a:prstGeom prst="rightArrow">
          <a:avLst/>
        </a:prstGeom>
        <a:solidFill>
          <a:srgbClr val="4181FF"/>
        </a:solidFill>
        <a:effectLst>
          <a:softEdge rad="31750"/>
        </a:effectLst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/>
            <a:t>Dishwasher Assignment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2870</xdr:colOff>
      <xdr:row>4</xdr:row>
      <xdr:rowOff>75722</xdr:rowOff>
    </xdr:from>
    <xdr:to>
      <xdr:col>9</xdr:col>
      <xdr:colOff>309282</xdr:colOff>
      <xdr:row>11</xdr:row>
      <xdr:rowOff>0</xdr:rowOff>
    </xdr:to>
    <xdr:sp macro="[0]!GEAssignment1" textlink="">
      <xdr:nvSpPr>
        <xdr:cNvPr id="5" name="Rectangle 4">
          <a:extLst>
            <a:ext uri="{FF2B5EF4-FFF2-40B4-BE49-F238E27FC236}">
              <a16:creationId xmlns:a16="http://schemas.microsoft.com/office/drawing/2014/main" id="{85D7A351-A4EC-4C85-A024-2D6EFA6547F4}"/>
            </a:ext>
          </a:extLst>
        </xdr:cNvPr>
        <xdr:cNvSpPr/>
      </xdr:nvSpPr>
      <xdr:spPr>
        <a:xfrm>
          <a:off x="6475388" y="1147004"/>
          <a:ext cx="1588365" cy="1210714"/>
        </a:xfrm>
        <a:prstGeom prst="rect">
          <a:avLst/>
        </a:prstGeom>
        <a:solidFill>
          <a:srgbClr val="0870D8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Solve Dishwasher Assignment</a:t>
          </a:r>
        </a:p>
      </xdr:txBody>
    </xdr:sp>
    <xdr:clientData/>
  </xdr:twoCellAnchor>
  <xdr:twoCellAnchor>
    <xdr:from>
      <xdr:col>1</xdr:col>
      <xdr:colOff>544756</xdr:colOff>
      <xdr:row>0</xdr:row>
      <xdr:rowOff>144056</xdr:rowOff>
    </xdr:from>
    <xdr:to>
      <xdr:col>3</xdr:col>
      <xdr:colOff>452718</xdr:colOff>
      <xdr:row>0</xdr:row>
      <xdr:rowOff>548192</xdr:rowOff>
    </xdr:to>
    <xdr:sp macro="[0]!UNav" textlink="">
      <xdr:nvSpPr>
        <xdr:cNvPr id="2" name="Rectangle 1">
          <a:extLst>
            <a:ext uri="{FF2B5EF4-FFF2-40B4-BE49-F238E27FC236}">
              <a16:creationId xmlns:a16="http://schemas.microsoft.com/office/drawing/2014/main" id="{F7EDD000-A017-4B78-8F97-28FB66FD7916}"/>
            </a:ext>
          </a:extLst>
        </xdr:cNvPr>
        <xdr:cNvSpPr/>
      </xdr:nvSpPr>
      <xdr:spPr>
        <a:xfrm>
          <a:off x="1706806" y="144056"/>
          <a:ext cx="1995842" cy="404136"/>
        </a:xfrm>
        <a:prstGeom prst="rect">
          <a:avLst/>
        </a:prstGeom>
        <a:solidFill>
          <a:srgbClr val="0870D8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Navigation</a:t>
          </a:r>
        </a:p>
      </xdr:txBody>
    </xdr:sp>
    <xdr:clientData/>
  </xdr:twoCellAnchor>
  <xdr:twoCellAnchor>
    <xdr:from>
      <xdr:col>4</xdr:col>
      <xdr:colOff>367551</xdr:colOff>
      <xdr:row>0</xdr:row>
      <xdr:rowOff>157503</xdr:rowOff>
    </xdr:from>
    <xdr:to>
      <xdr:col>5</xdr:col>
      <xdr:colOff>600633</xdr:colOff>
      <xdr:row>0</xdr:row>
      <xdr:rowOff>515470</xdr:rowOff>
    </xdr:to>
    <xdr:sp macro="[0]!ExitButton" textlink="">
      <xdr:nvSpPr>
        <xdr:cNvPr id="7" name="Rectangle 6">
          <a:extLst>
            <a:ext uri="{FF2B5EF4-FFF2-40B4-BE49-F238E27FC236}">
              <a16:creationId xmlns:a16="http://schemas.microsoft.com/office/drawing/2014/main" id="{CB076646-9075-4DF5-80B3-6FB0A8D6A429}"/>
            </a:ext>
          </a:extLst>
        </xdr:cNvPr>
        <xdr:cNvSpPr/>
      </xdr:nvSpPr>
      <xdr:spPr>
        <a:xfrm>
          <a:off x="4916691" y="157503"/>
          <a:ext cx="873162" cy="357967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Exit</a:t>
          </a:r>
        </a:p>
      </xdr:txBody>
    </xdr:sp>
    <xdr:clientData/>
  </xdr:twoCellAnchor>
  <xdr:twoCellAnchor editAs="oneCell">
    <xdr:from>
      <xdr:col>0</xdr:col>
      <xdr:colOff>242048</xdr:colOff>
      <xdr:row>0</xdr:row>
      <xdr:rowOff>13447</xdr:rowOff>
    </xdr:from>
    <xdr:to>
      <xdr:col>0</xdr:col>
      <xdr:colOff>877306</xdr:colOff>
      <xdr:row>0</xdr:row>
      <xdr:rowOff>644801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3988433D-91B6-4783-875F-A01D9CD85B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2048" y="13447"/>
          <a:ext cx="635258" cy="632200"/>
        </a:xfrm>
        <a:prstGeom prst="rect">
          <a:avLst/>
        </a:prstGeom>
      </xdr:spPr>
    </xdr:pic>
    <xdr:clientData/>
  </xdr:twoCellAnchor>
  <xdr:twoCellAnchor>
    <xdr:from>
      <xdr:col>4</xdr:col>
      <xdr:colOff>152399</xdr:colOff>
      <xdr:row>23</xdr:row>
      <xdr:rowOff>0</xdr:rowOff>
    </xdr:from>
    <xdr:to>
      <xdr:col>7</xdr:col>
      <xdr:colOff>304800</xdr:colOff>
      <xdr:row>26</xdr:row>
      <xdr:rowOff>89647</xdr:rowOff>
    </xdr:to>
    <xdr:sp macro="[0]!GoToMicrowave" textlink="">
      <xdr:nvSpPr>
        <xdr:cNvPr id="15" name="Arrow: Right 14">
          <a:extLst>
            <a:ext uri="{FF2B5EF4-FFF2-40B4-BE49-F238E27FC236}">
              <a16:creationId xmlns:a16="http://schemas.microsoft.com/office/drawing/2014/main" id="{EFEBDAB9-59E2-4DF9-BE5F-C96995F6EC98}"/>
            </a:ext>
          </a:extLst>
        </xdr:cNvPr>
        <xdr:cNvSpPr/>
      </xdr:nvSpPr>
      <xdr:spPr>
        <a:xfrm>
          <a:off x="4464423" y="4715435"/>
          <a:ext cx="1981201" cy="627530"/>
        </a:xfrm>
        <a:prstGeom prst="rightArrow">
          <a:avLst/>
        </a:prstGeom>
        <a:solidFill>
          <a:srgbClr val="4181FF"/>
        </a:solidFill>
        <a:ln>
          <a:noFill/>
        </a:ln>
        <a:effectLst>
          <a:softEdge rad="31750"/>
        </a:effectLst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/>
            <a:t>Microwave Assignment</a:t>
          </a:r>
        </a:p>
      </xdr:txBody>
    </xdr:sp>
    <xdr:clientData/>
  </xdr:twoCellAnchor>
  <xdr:twoCellAnchor>
    <xdr:from>
      <xdr:col>0</xdr:col>
      <xdr:colOff>1030941</xdr:colOff>
      <xdr:row>23</xdr:row>
      <xdr:rowOff>26895</xdr:rowOff>
    </xdr:from>
    <xdr:to>
      <xdr:col>2</xdr:col>
      <xdr:colOff>1120588</xdr:colOff>
      <xdr:row>26</xdr:row>
      <xdr:rowOff>80682</xdr:rowOff>
    </xdr:to>
    <xdr:sp macro="[0]!GoToRefridgerator" textlink="">
      <xdr:nvSpPr>
        <xdr:cNvPr id="3" name="Arrow: Left 2">
          <a:extLst>
            <a:ext uri="{FF2B5EF4-FFF2-40B4-BE49-F238E27FC236}">
              <a16:creationId xmlns:a16="http://schemas.microsoft.com/office/drawing/2014/main" id="{38DF371B-B3B2-243E-A73D-F340478B820D}"/>
            </a:ext>
          </a:extLst>
        </xdr:cNvPr>
        <xdr:cNvSpPr/>
      </xdr:nvSpPr>
      <xdr:spPr>
        <a:xfrm>
          <a:off x="1030941" y="4742330"/>
          <a:ext cx="1954306" cy="591670"/>
        </a:xfrm>
        <a:prstGeom prst="leftArrow">
          <a:avLst/>
        </a:prstGeom>
        <a:solidFill>
          <a:srgbClr val="4181FF"/>
        </a:solidFill>
        <a:ln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/>
            <a:t>Refridgerator</a:t>
          </a:r>
          <a:r>
            <a:rPr lang="en-US" sz="1100" b="1" baseline="0"/>
            <a:t> Assignment</a:t>
          </a:r>
          <a:endParaRPr lang="en-US" sz="1100" b="1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632142</xdr:colOff>
      <xdr:row>4</xdr:row>
      <xdr:rowOff>0</xdr:rowOff>
    </xdr:from>
    <xdr:to>
      <xdr:col>9</xdr:col>
      <xdr:colOff>268941</xdr:colOff>
      <xdr:row>10</xdr:row>
      <xdr:rowOff>85164</xdr:rowOff>
    </xdr:to>
    <xdr:sp macro="[0]!GEAssignment2" textlink="">
      <xdr:nvSpPr>
        <xdr:cNvPr id="6" name="Rectangle 5">
          <a:extLst>
            <a:ext uri="{FF2B5EF4-FFF2-40B4-BE49-F238E27FC236}">
              <a16:creationId xmlns:a16="http://schemas.microsoft.com/office/drawing/2014/main" id="{C7531992-191A-48DC-B0D6-77A4D7F45967}"/>
            </a:ext>
          </a:extLst>
        </xdr:cNvPr>
        <xdr:cNvSpPr/>
      </xdr:nvSpPr>
      <xdr:spPr>
        <a:xfrm>
          <a:off x="6463683" y="1720221"/>
          <a:ext cx="1559729" cy="1188825"/>
        </a:xfrm>
        <a:prstGeom prst="rect">
          <a:avLst/>
        </a:prstGeom>
        <a:solidFill>
          <a:srgbClr val="0870D8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Solve Microwave Assignment</a:t>
          </a:r>
        </a:p>
      </xdr:txBody>
    </xdr:sp>
    <xdr:clientData/>
  </xdr:twoCellAnchor>
  <xdr:twoCellAnchor>
    <xdr:from>
      <xdr:col>1</xdr:col>
      <xdr:colOff>544756</xdr:colOff>
      <xdr:row>0</xdr:row>
      <xdr:rowOff>144056</xdr:rowOff>
    </xdr:from>
    <xdr:to>
      <xdr:col>3</xdr:col>
      <xdr:colOff>452718</xdr:colOff>
      <xdr:row>0</xdr:row>
      <xdr:rowOff>548192</xdr:rowOff>
    </xdr:to>
    <xdr:sp macro="[0]!UNav" textlink="">
      <xdr:nvSpPr>
        <xdr:cNvPr id="2" name="Rectangle 1">
          <a:extLst>
            <a:ext uri="{FF2B5EF4-FFF2-40B4-BE49-F238E27FC236}">
              <a16:creationId xmlns:a16="http://schemas.microsoft.com/office/drawing/2014/main" id="{D7836E98-9622-42CB-8DCC-5BAE1481BF85}"/>
            </a:ext>
          </a:extLst>
        </xdr:cNvPr>
        <xdr:cNvSpPr/>
      </xdr:nvSpPr>
      <xdr:spPr>
        <a:xfrm>
          <a:off x="1706806" y="144056"/>
          <a:ext cx="1995842" cy="404136"/>
        </a:xfrm>
        <a:prstGeom prst="rect">
          <a:avLst/>
        </a:prstGeom>
        <a:solidFill>
          <a:srgbClr val="0870D8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Navigation</a:t>
          </a:r>
        </a:p>
      </xdr:txBody>
    </xdr:sp>
    <xdr:clientData/>
  </xdr:twoCellAnchor>
  <xdr:twoCellAnchor>
    <xdr:from>
      <xdr:col>4</xdr:col>
      <xdr:colOff>367551</xdr:colOff>
      <xdr:row>0</xdr:row>
      <xdr:rowOff>157503</xdr:rowOff>
    </xdr:from>
    <xdr:to>
      <xdr:col>5</xdr:col>
      <xdr:colOff>600633</xdr:colOff>
      <xdr:row>0</xdr:row>
      <xdr:rowOff>515470</xdr:rowOff>
    </xdr:to>
    <xdr:sp macro="[0]!ExitButton" textlink="">
      <xdr:nvSpPr>
        <xdr:cNvPr id="5" name="Rectangle 4">
          <a:extLst>
            <a:ext uri="{FF2B5EF4-FFF2-40B4-BE49-F238E27FC236}">
              <a16:creationId xmlns:a16="http://schemas.microsoft.com/office/drawing/2014/main" id="{04E714CC-3084-45EB-A7F1-7FF71601DECA}"/>
            </a:ext>
          </a:extLst>
        </xdr:cNvPr>
        <xdr:cNvSpPr/>
      </xdr:nvSpPr>
      <xdr:spPr>
        <a:xfrm>
          <a:off x="4916691" y="157503"/>
          <a:ext cx="873162" cy="357967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Exit</a:t>
          </a:r>
        </a:p>
      </xdr:txBody>
    </xdr:sp>
    <xdr:clientData/>
  </xdr:twoCellAnchor>
  <xdr:twoCellAnchor editAs="oneCell">
    <xdr:from>
      <xdr:col>0</xdr:col>
      <xdr:colOff>268942</xdr:colOff>
      <xdr:row>0</xdr:row>
      <xdr:rowOff>22411</xdr:rowOff>
    </xdr:from>
    <xdr:to>
      <xdr:col>0</xdr:col>
      <xdr:colOff>896159</xdr:colOff>
      <xdr:row>0</xdr:row>
      <xdr:rowOff>667312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C9B5C1EE-1B62-486C-B79D-1747C0B98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8942" y="22411"/>
          <a:ext cx="635258" cy="632200"/>
        </a:xfrm>
        <a:prstGeom prst="rect">
          <a:avLst/>
        </a:prstGeom>
      </xdr:spPr>
    </xdr:pic>
    <xdr:clientData/>
  </xdr:twoCellAnchor>
  <xdr:twoCellAnchor>
    <xdr:from>
      <xdr:col>0</xdr:col>
      <xdr:colOff>941295</xdr:colOff>
      <xdr:row>22</xdr:row>
      <xdr:rowOff>26894</xdr:rowOff>
    </xdr:from>
    <xdr:to>
      <xdr:col>2</xdr:col>
      <xdr:colOff>887506</xdr:colOff>
      <xdr:row>25</xdr:row>
      <xdr:rowOff>71718</xdr:rowOff>
    </xdr:to>
    <xdr:sp macro="[0]!GoToDishwasher" textlink="">
      <xdr:nvSpPr>
        <xdr:cNvPr id="3" name="Arrow: Left 2">
          <a:extLst>
            <a:ext uri="{FF2B5EF4-FFF2-40B4-BE49-F238E27FC236}">
              <a16:creationId xmlns:a16="http://schemas.microsoft.com/office/drawing/2014/main" id="{FD3201EE-B983-4B4A-A428-52210EB2AB9E}"/>
            </a:ext>
          </a:extLst>
        </xdr:cNvPr>
        <xdr:cNvSpPr/>
      </xdr:nvSpPr>
      <xdr:spPr>
        <a:xfrm>
          <a:off x="941295" y="4598894"/>
          <a:ext cx="1810870" cy="582706"/>
        </a:xfrm>
        <a:prstGeom prst="leftArrow">
          <a:avLst/>
        </a:prstGeom>
        <a:solidFill>
          <a:srgbClr val="4181FF"/>
        </a:solidFill>
        <a:ln>
          <a:noFill/>
        </a:ln>
        <a:effectLst>
          <a:softEdge rad="31750"/>
        </a:effectLst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Dishwasher Assignment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133350</xdr:rowOff>
        </xdr:from>
        <xdr:to>
          <xdr:col>8</xdr:col>
          <xdr:colOff>220980</xdr:colOff>
          <xdr:row>4</xdr:row>
          <xdr:rowOff>190500</xdr:rowOff>
        </xdr:to>
        <xdr:sp macro="" textlink="">
          <xdr:nvSpPr>
            <xdr:cNvPr id="20481" name="CustLookup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9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544756</xdr:colOff>
      <xdr:row>0</xdr:row>
      <xdr:rowOff>144056</xdr:rowOff>
    </xdr:from>
    <xdr:to>
      <xdr:col>3</xdr:col>
      <xdr:colOff>452718</xdr:colOff>
      <xdr:row>0</xdr:row>
      <xdr:rowOff>548192</xdr:rowOff>
    </xdr:to>
    <xdr:sp macro="[0]!UNav" textlink="">
      <xdr:nvSpPr>
        <xdr:cNvPr id="4" name="Rectangle 3">
          <a:extLst>
            <a:ext uri="{FF2B5EF4-FFF2-40B4-BE49-F238E27FC236}">
              <a16:creationId xmlns:a16="http://schemas.microsoft.com/office/drawing/2014/main" id="{7C23F2A9-F40B-47AC-9D41-2B561970F0CD}"/>
            </a:ext>
          </a:extLst>
        </xdr:cNvPr>
        <xdr:cNvSpPr/>
      </xdr:nvSpPr>
      <xdr:spPr>
        <a:xfrm>
          <a:off x="1710193" y="143209"/>
          <a:ext cx="1997535" cy="406676"/>
        </a:xfrm>
        <a:prstGeom prst="rect">
          <a:avLst/>
        </a:prstGeom>
        <a:solidFill>
          <a:srgbClr val="0870D8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Navigation</a:t>
          </a:r>
        </a:p>
      </xdr:txBody>
    </xdr:sp>
    <xdr:clientData/>
  </xdr:twoCellAnchor>
  <xdr:twoCellAnchor>
    <xdr:from>
      <xdr:col>4</xdr:col>
      <xdr:colOff>367551</xdr:colOff>
      <xdr:row>0</xdr:row>
      <xdr:rowOff>157503</xdr:rowOff>
    </xdr:from>
    <xdr:to>
      <xdr:col>5</xdr:col>
      <xdr:colOff>600633</xdr:colOff>
      <xdr:row>0</xdr:row>
      <xdr:rowOff>515470</xdr:rowOff>
    </xdr:to>
    <xdr:sp macro="[0]!ExitButton" textlink="">
      <xdr:nvSpPr>
        <xdr:cNvPr id="5" name="Rectangle 4">
          <a:extLst>
            <a:ext uri="{FF2B5EF4-FFF2-40B4-BE49-F238E27FC236}">
              <a16:creationId xmlns:a16="http://schemas.microsoft.com/office/drawing/2014/main" id="{D2077756-85CB-4BE9-92E8-9DE5C10C67C7}"/>
            </a:ext>
          </a:extLst>
        </xdr:cNvPr>
        <xdr:cNvSpPr/>
      </xdr:nvSpPr>
      <xdr:spPr>
        <a:xfrm>
          <a:off x="4920925" y="157926"/>
          <a:ext cx="873161" cy="359661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Exit</a:t>
          </a:r>
        </a:p>
      </xdr:txBody>
    </xdr:sp>
    <xdr:clientData/>
  </xdr:twoCellAnchor>
  <xdr:twoCellAnchor editAs="oneCell">
    <xdr:from>
      <xdr:col>0</xdr:col>
      <xdr:colOff>38100</xdr:colOff>
      <xdr:row>0</xdr:row>
      <xdr:rowOff>12700</xdr:rowOff>
    </xdr:from>
    <xdr:to>
      <xdr:col>1</xdr:col>
      <xdr:colOff>60382</xdr:colOff>
      <xdr:row>0</xdr:row>
      <xdr:rowOff>648710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6BDC5C8F-4C51-4977-B905-5A3466B51E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12700"/>
          <a:ext cx="631872" cy="63601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544756</xdr:colOff>
      <xdr:row>0</xdr:row>
      <xdr:rowOff>144056</xdr:rowOff>
    </xdr:from>
    <xdr:to>
      <xdr:col>3</xdr:col>
      <xdr:colOff>452718</xdr:colOff>
      <xdr:row>0</xdr:row>
      <xdr:rowOff>548192</xdr:rowOff>
    </xdr:to>
    <xdr:sp macro="[0]!UNav" textlink="">
      <xdr:nvSpPr>
        <xdr:cNvPr id="11" name="Rectangle 10">
          <a:extLst>
            <a:ext uri="{FF2B5EF4-FFF2-40B4-BE49-F238E27FC236}">
              <a16:creationId xmlns:a16="http://schemas.microsoft.com/office/drawing/2014/main" id="{77B5E148-C3C9-434D-929C-367E1755B532}"/>
            </a:ext>
          </a:extLst>
        </xdr:cNvPr>
        <xdr:cNvSpPr/>
      </xdr:nvSpPr>
      <xdr:spPr>
        <a:xfrm>
          <a:off x="1142926" y="143209"/>
          <a:ext cx="1442969" cy="406676"/>
        </a:xfrm>
        <a:prstGeom prst="rect">
          <a:avLst/>
        </a:prstGeom>
        <a:solidFill>
          <a:srgbClr val="0870D8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Navigation</a:t>
          </a:r>
        </a:p>
      </xdr:txBody>
    </xdr:sp>
    <xdr:clientData/>
  </xdr:twoCellAnchor>
  <xdr:twoCellAnchor>
    <xdr:from>
      <xdr:col>4</xdr:col>
      <xdr:colOff>367551</xdr:colOff>
      <xdr:row>0</xdr:row>
      <xdr:rowOff>157503</xdr:rowOff>
    </xdr:from>
    <xdr:to>
      <xdr:col>5</xdr:col>
      <xdr:colOff>600633</xdr:colOff>
      <xdr:row>0</xdr:row>
      <xdr:rowOff>515470</xdr:rowOff>
    </xdr:to>
    <xdr:sp macro="[0]!ExitButton" textlink="">
      <xdr:nvSpPr>
        <xdr:cNvPr id="12" name="Rectangle 11">
          <a:extLst>
            <a:ext uri="{FF2B5EF4-FFF2-40B4-BE49-F238E27FC236}">
              <a16:creationId xmlns:a16="http://schemas.microsoft.com/office/drawing/2014/main" id="{294F3E47-AC2D-42F4-9D67-B1B01BDCF42F}"/>
            </a:ext>
          </a:extLst>
        </xdr:cNvPr>
        <xdr:cNvSpPr/>
      </xdr:nvSpPr>
      <xdr:spPr>
        <a:xfrm>
          <a:off x="3473125" y="157926"/>
          <a:ext cx="1110228" cy="359661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Exit</a:t>
          </a:r>
        </a:p>
      </xdr:txBody>
    </xdr:sp>
    <xdr:clientData/>
  </xdr:twoCellAnchor>
  <xdr:twoCellAnchor editAs="oneCell">
    <xdr:from>
      <xdr:col>0</xdr:col>
      <xdr:colOff>38100</xdr:colOff>
      <xdr:row>0</xdr:row>
      <xdr:rowOff>0</xdr:rowOff>
    </xdr:from>
    <xdr:to>
      <xdr:col>0</xdr:col>
      <xdr:colOff>670018</xdr:colOff>
      <xdr:row>0</xdr:row>
      <xdr:rowOff>631822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1D9DB912-1FE7-49B8-8D5B-F55D80945B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0"/>
          <a:ext cx="629756" cy="63347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80fa503793c67ba1/Documents/bit%20hell/project%20(clementine%20files)/L17-18-19-20-finishe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ickr\Downloads\L17-18-19-20-star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elcome"/>
      <sheetName val="Hidden"/>
      <sheetName val="Data"/>
      <sheetName val="Model"/>
      <sheetName val="Dashboard"/>
    </sheetNames>
    <sheetDataSet>
      <sheetData sheetId="0"/>
      <sheetData sheetId="1"/>
      <sheetData sheetId="2"/>
      <sheetData sheetId="3">
        <row r="8">
          <cell r="A8" t="str">
            <v>P101</v>
          </cell>
          <cell r="B8" t="str">
            <v>Laptop</v>
          </cell>
          <cell r="C8">
            <v>15</v>
          </cell>
          <cell r="D8">
            <v>5</v>
          </cell>
          <cell r="E8">
            <v>10</v>
          </cell>
          <cell r="F8">
            <v>1096.9000000000001</v>
          </cell>
          <cell r="G8">
            <v>123.33</v>
          </cell>
          <cell r="H8">
            <v>0</v>
          </cell>
          <cell r="I8">
            <v>1</v>
          </cell>
        </row>
        <row r="9">
          <cell r="A9" t="str">
            <v>P102</v>
          </cell>
          <cell r="B9" t="str">
            <v>Smartphone</v>
          </cell>
          <cell r="C9">
            <v>30</v>
          </cell>
          <cell r="D9">
            <v>12</v>
          </cell>
          <cell r="E9">
            <v>18</v>
          </cell>
          <cell r="F9">
            <v>1410.9</v>
          </cell>
          <cell r="G9">
            <v>244.48</v>
          </cell>
          <cell r="H9">
            <v>3</v>
          </cell>
          <cell r="I9">
            <v>4</v>
          </cell>
        </row>
        <row r="10">
          <cell r="A10" t="str">
            <v>P103</v>
          </cell>
          <cell r="B10" t="str">
            <v>Tablet</v>
          </cell>
          <cell r="C10">
            <v>30</v>
          </cell>
          <cell r="D10">
            <v>16</v>
          </cell>
          <cell r="E10">
            <v>14</v>
          </cell>
          <cell r="F10">
            <v>51.13</v>
          </cell>
          <cell r="G10">
            <v>78.09</v>
          </cell>
          <cell r="H10">
            <v>12</v>
          </cell>
          <cell r="I10">
            <v>0</v>
          </cell>
        </row>
        <row r="11">
          <cell r="A11" t="str">
            <v>P104</v>
          </cell>
          <cell r="B11" t="str">
            <v>Smartwatch</v>
          </cell>
          <cell r="C11">
            <v>30</v>
          </cell>
          <cell r="D11">
            <v>17</v>
          </cell>
          <cell r="E11">
            <v>13</v>
          </cell>
          <cell r="F11">
            <v>1488.71</v>
          </cell>
          <cell r="G11">
            <v>171.68</v>
          </cell>
          <cell r="H11">
            <v>6</v>
          </cell>
          <cell r="I11">
            <v>7</v>
          </cell>
        </row>
        <row r="12">
          <cell r="A12" t="str">
            <v>P105</v>
          </cell>
          <cell r="B12" t="str">
            <v>Wireless Earbuds</v>
          </cell>
          <cell r="C12">
            <v>30</v>
          </cell>
          <cell r="D12">
            <v>10</v>
          </cell>
          <cell r="E12">
            <v>20</v>
          </cell>
          <cell r="F12">
            <v>945.35</v>
          </cell>
          <cell r="G12">
            <v>141.76</v>
          </cell>
          <cell r="H12">
            <v>1</v>
          </cell>
          <cell r="I12">
            <v>5</v>
          </cell>
        </row>
        <row r="13">
          <cell r="A13" t="str">
            <v>P106</v>
          </cell>
          <cell r="B13" t="str">
            <v>Monitor</v>
          </cell>
          <cell r="C13">
            <v>15</v>
          </cell>
          <cell r="D13">
            <v>28</v>
          </cell>
          <cell r="E13">
            <v>-13</v>
          </cell>
          <cell r="F13">
            <v>936.9</v>
          </cell>
          <cell r="G13">
            <v>125.99</v>
          </cell>
          <cell r="H13">
            <v>9</v>
          </cell>
          <cell r="I13">
            <v>15</v>
          </cell>
        </row>
        <row r="14">
          <cell r="A14" t="str">
            <v>P107</v>
          </cell>
          <cell r="B14" t="str">
            <v>Keyboard</v>
          </cell>
          <cell r="C14">
            <v>15</v>
          </cell>
          <cell r="D14">
            <v>14</v>
          </cell>
          <cell r="E14">
            <v>1</v>
          </cell>
          <cell r="F14">
            <v>60.25</v>
          </cell>
          <cell r="G14">
            <v>36.67</v>
          </cell>
          <cell r="H14">
            <v>6</v>
          </cell>
          <cell r="I14">
            <v>4</v>
          </cell>
        </row>
        <row r="15">
          <cell r="A15" t="str">
            <v>P108</v>
          </cell>
          <cell r="B15" t="str">
            <v>Mouse</v>
          </cell>
          <cell r="C15">
            <v>15</v>
          </cell>
          <cell r="D15">
            <v>5</v>
          </cell>
          <cell r="E15">
            <v>10</v>
          </cell>
          <cell r="F15">
            <v>83.44</v>
          </cell>
          <cell r="G15">
            <v>40.880000000000003</v>
          </cell>
          <cell r="H15">
            <v>2</v>
          </cell>
          <cell r="I15">
            <v>3</v>
          </cell>
        </row>
        <row r="16">
          <cell r="A16" t="str">
            <v>P109</v>
          </cell>
          <cell r="B16" t="str">
            <v>Printer</v>
          </cell>
          <cell r="C16">
            <v>15</v>
          </cell>
          <cell r="D16">
            <v>11</v>
          </cell>
          <cell r="E16">
            <v>4</v>
          </cell>
          <cell r="F16">
            <v>810.92</v>
          </cell>
          <cell r="G16">
            <v>134.46</v>
          </cell>
          <cell r="H16">
            <v>5</v>
          </cell>
          <cell r="I16">
            <v>5</v>
          </cell>
        </row>
        <row r="19">
          <cell r="F19">
            <v>94408.97</v>
          </cell>
          <cell r="H19">
            <v>4950.3500000000004</v>
          </cell>
          <cell r="I19">
            <v>5843.2800000000007</v>
          </cell>
          <cell r="J19">
            <v>4066.94</v>
          </cell>
        </row>
        <row r="21">
          <cell r="G21">
            <v>14860.570000000002</v>
          </cell>
        </row>
      </sheetData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elcome"/>
      <sheetName val="Hidden"/>
      <sheetName val="Data"/>
      <sheetName val="Model"/>
      <sheetName val="Dashboard"/>
    </sheetNames>
    <sheetDataSet>
      <sheetData sheetId="0"/>
      <sheetData sheetId="1"/>
      <sheetData sheetId="2">
        <row r="8">
          <cell r="G8" t="str">
            <v>ORD1001</v>
          </cell>
          <cell r="I8" t="str">
            <v>P103</v>
          </cell>
          <cell r="J8">
            <v>3</v>
          </cell>
          <cell r="K8">
            <v>153.39000000000001</v>
          </cell>
        </row>
        <row r="9">
          <cell r="G9" t="str">
            <v>ORD1002</v>
          </cell>
          <cell r="I9" t="str">
            <v>P109</v>
          </cell>
          <cell r="J9">
            <v>2</v>
          </cell>
          <cell r="K9">
            <v>1621.84</v>
          </cell>
        </row>
        <row r="10">
          <cell r="G10" t="str">
            <v>ORD1002</v>
          </cell>
          <cell r="I10" t="str">
            <v>P106</v>
          </cell>
          <cell r="J10">
            <v>3</v>
          </cell>
          <cell r="K10">
            <v>2810.7</v>
          </cell>
        </row>
        <row r="11">
          <cell r="G11" t="str">
            <v>ORD1003</v>
          </cell>
          <cell r="I11" t="str">
            <v>P101</v>
          </cell>
          <cell r="J11">
            <v>4</v>
          </cell>
          <cell r="K11">
            <v>4387.6000000000004</v>
          </cell>
        </row>
        <row r="12">
          <cell r="G12" t="str">
            <v>ORD1003</v>
          </cell>
          <cell r="I12" t="str">
            <v>P107</v>
          </cell>
          <cell r="J12">
            <v>4</v>
          </cell>
          <cell r="K12">
            <v>241</v>
          </cell>
        </row>
        <row r="13">
          <cell r="G13" t="str">
            <v>ORD1004</v>
          </cell>
          <cell r="I13" t="str">
            <v>P103</v>
          </cell>
          <cell r="J13">
            <v>1</v>
          </cell>
          <cell r="K13">
            <v>51.13</v>
          </cell>
        </row>
        <row r="14">
          <cell r="G14" t="str">
            <v>ORD1004</v>
          </cell>
          <cell r="I14" t="str">
            <v>P102</v>
          </cell>
          <cell r="J14">
            <v>2</v>
          </cell>
          <cell r="K14">
            <v>2821.8</v>
          </cell>
        </row>
        <row r="15">
          <cell r="G15" t="str">
            <v>ORD1005</v>
          </cell>
          <cell r="I15" t="str">
            <v>P102</v>
          </cell>
          <cell r="J15">
            <v>1</v>
          </cell>
          <cell r="K15">
            <v>1410.9</v>
          </cell>
        </row>
        <row r="16">
          <cell r="G16" t="str">
            <v>ORD1005</v>
          </cell>
          <cell r="I16" t="str">
            <v>P104</v>
          </cell>
          <cell r="J16">
            <v>1</v>
          </cell>
          <cell r="K16">
            <v>1488.71</v>
          </cell>
        </row>
        <row r="17">
          <cell r="G17" t="str">
            <v>ORD1006</v>
          </cell>
          <cell r="I17" t="str">
            <v>P104</v>
          </cell>
          <cell r="J17">
            <v>3</v>
          </cell>
          <cell r="K17">
            <v>4466.13</v>
          </cell>
        </row>
        <row r="18">
          <cell r="G18" t="str">
            <v>ORD1006</v>
          </cell>
          <cell r="I18" t="str">
            <v>P102</v>
          </cell>
          <cell r="J18">
            <v>1</v>
          </cell>
          <cell r="K18">
            <v>1410.9</v>
          </cell>
        </row>
        <row r="19">
          <cell r="G19" t="str">
            <v>ORD1006</v>
          </cell>
          <cell r="I19" t="str">
            <v>P105</v>
          </cell>
          <cell r="J19">
            <v>3</v>
          </cell>
          <cell r="K19">
            <v>2836.05</v>
          </cell>
        </row>
        <row r="20">
          <cell r="G20" t="str">
            <v>ORD1007</v>
          </cell>
          <cell r="I20" t="str">
            <v>P104</v>
          </cell>
          <cell r="J20">
            <v>3</v>
          </cell>
          <cell r="K20">
            <v>4466.13</v>
          </cell>
        </row>
        <row r="21">
          <cell r="G21" t="str">
            <v>ORD1008</v>
          </cell>
          <cell r="I21" t="str">
            <v>P108</v>
          </cell>
          <cell r="J21">
            <v>1</v>
          </cell>
          <cell r="K21">
            <v>83.44</v>
          </cell>
        </row>
        <row r="22">
          <cell r="G22" t="str">
            <v>ORD1009</v>
          </cell>
          <cell r="I22" t="str">
            <v>P105</v>
          </cell>
          <cell r="J22">
            <v>1</v>
          </cell>
          <cell r="K22">
            <v>945.35</v>
          </cell>
        </row>
        <row r="23">
          <cell r="G23" t="str">
            <v>ORD1009</v>
          </cell>
          <cell r="I23" t="str">
            <v>P102</v>
          </cell>
          <cell r="J23">
            <v>2</v>
          </cell>
          <cell r="K23">
            <v>2821.8</v>
          </cell>
        </row>
        <row r="24">
          <cell r="G24" t="str">
            <v>ORD1010</v>
          </cell>
          <cell r="I24" t="str">
            <v>P109</v>
          </cell>
          <cell r="J24">
            <v>2</v>
          </cell>
          <cell r="K24">
            <v>1621.84</v>
          </cell>
        </row>
        <row r="25">
          <cell r="G25" t="str">
            <v>ORD1011</v>
          </cell>
          <cell r="I25" t="str">
            <v>P102</v>
          </cell>
          <cell r="J25">
            <v>1</v>
          </cell>
          <cell r="K25">
            <v>1410.9</v>
          </cell>
        </row>
        <row r="26">
          <cell r="G26" t="str">
            <v>ORD1011</v>
          </cell>
          <cell r="I26" t="str">
            <v>P103</v>
          </cell>
          <cell r="J26">
            <v>3</v>
          </cell>
          <cell r="K26">
            <v>153.39000000000001</v>
          </cell>
        </row>
        <row r="27">
          <cell r="G27" t="str">
            <v>ORD1012</v>
          </cell>
          <cell r="I27" t="str">
            <v>P104</v>
          </cell>
          <cell r="J27">
            <v>1</v>
          </cell>
          <cell r="K27">
            <v>1488.71</v>
          </cell>
        </row>
        <row r="28">
          <cell r="G28" t="str">
            <v>ORD1013</v>
          </cell>
          <cell r="I28" t="str">
            <v>P103</v>
          </cell>
          <cell r="J28">
            <v>4</v>
          </cell>
          <cell r="K28">
            <v>204.52</v>
          </cell>
        </row>
        <row r="29">
          <cell r="G29" t="str">
            <v>ORD1013</v>
          </cell>
          <cell r="I29" t="str">
            <v>P109</v>
          </cell>
          <cell r="J29">
            <v>3</v>
          </cell>
          <cell r="K29">
            <v>2432.7599999999998</v>
          </cell>
        </row>
        <row r="30">
          <cell r="G30" t="str">
            <v>ORD1014</v>
          </cell>
          <cell r="I30" t="str">
            <v>P104</v>
          </cell>
          <cell r="J30">
            <v>4</v>
          </cell>
          <cell r="K30">
            <v>5954.84</v>
          </cell>
        </row>
        <row r="31">
          <cell r="G31" t="str">
            <v>ORD1014</v>
          </cell>
          <cell r="I31" t="str">
            <v>P108</v>
          </cell>
          <cell r="J31">
            <v>2</v>
          </cell>
          <cell r="K31">
            <v>166.88</v>
          </cell>
        </row>
        <row r="32">
          <cell r="G32" t="str">
            <v>ORD1015</v>
          </cell>
          <cell r="I32" t="str">
            <v>P109</v>
          </cell>
          <cell r="J32">
            <v>1</v>
          </cell>
          <cell r="K32">
            <v>810.92</v>
          </cell>
        </row>
        <row r="33">
          <cell r="G33" t="str">
            <v>ORD1016</v>
          </cell>
          <cell r="I33" t="str">
            <v>P106</v>
          </cell>
          <cell r="J33">
            <v>2</v>
          </cell>
          <cell r="K33">
            <v>1873.8</v>
          </cell>
        </row>
        <row r="34">
          <cell r="G34" t="str">
            <v>ORD1016</v>
          </cell>
          <cell r="I34" t="str">
            <v>P109</v>
          </cell>
          <cell r="J34">
            <v>1</v>
          </cell>
          <cell r="K34">
            <v>810.92</v>
          </cell>
        </row>
        <row r="35">
          <cell r="G35" t="str">
            <v>ORD1016</v>
          </cell>
          <cell r="I35" t="str">
            <v>P102</v>
          </cell>
          <cell r="J35">
            <v>2</v>
          </cell>
          <cell r="K35">
            <v>2821.8</v>
          </cell>
        </row>
        <row r="36">
          <cell r="G36" t="str">
            <v>ORD1017</v>
          </cell>
          <cell r="I36" t="str">
            <v>P105</v>
          </cell>
          <cell r="J36">
            <v>4</v>
          </cell>
          <cell r="K36">
            <v>3781.4</v>
          </cell>
        </row>
        <row r="37">
          <cell r="G37" t="str">
            <v>ORD1017</v>
          </cell>
          <cell r="I37" t="str">
            <v>P101</v>
          </cell>
          <cell r="J37">
            <v>1</v>
          </cell>
          <cell r="K37">
            <v>1096.9000000000001</v>
          </cell>
        </row>
        <row r="38">
          <cell r="G38" t="str">
            <v>ORD1017</v>
          </cell>
          <cell r="I38" t="str">
            <v>P102</v>
          </cell>
          <cell r="J38">
            <v>1</v>
          </cell>
          <cell r="K38">
            <v>1410.9</v>
          </cell>
        </row>
        <row r="39">
          <cell r="G39" t="str">
            <v>ORD1018</v>
          </cell>
          <cell r="I39" t="str">
            <v>P106</v>
          </cell>
          <cell r="J39">
            <v>4</v>
          </cell>
          <cell r="K39">
            <v>3747.6</v>
          </cell>
        </row>
        <row r="40">
          <cell r="G40" t="str">
            <v>ORD1019</v>
          </cell>
          <cell r="I40" t="str">
            <v>P109</v>
          </cell>
          <cell r="J40">
            <v>2</v>
          </cell>
          <cell r="K40">
            <v>1621.84</v>
          </cell>
        </row>
        <row r="41">
          <cell r="G41" t="str">
            <v>ORD1019</v>
          </cell>
          <cell r="I41" t="str">
            <v>P106</v>
          </cell>
          <cell r="J41">
            <v>3</v>
          </cell>
          <cell r="K41">
            <v>2810.7</v>
          </cell>
        </row>
        <row r="42">
          <cell r="G42" t="str">
            <v>ORD1019</v>
          </cell>
          <cell r="I42" t="str">
            <v>P105</v>
          </cell>
          <cell r="J42">
            <v>1</v>
          </cell>
          <cell r="K42">
            <v>945.35</v>
          </cell>
        </row>
        <row r="43">
          <cell r="G43" t="str">
            <v>ORD1020</v>
          </cell>
          <cell r="I43" t="str">
            <v>P108</v>
          </cell>
          <cell r="J43">
            <v>2</v>
          </cell>
          <cell r="K43">
            <v>166.88</v>
          </cell>
        </row>
        <row r="44">
          <cell r="G44" t="str">
            <v>ORD1020</v>
          </cell>
          <cell r="I44" t="str">
            <v>P105</v>
          </cell>
          <cell r="J44">
            <v>1</v>
          </cell>
          <cell r="K44">
            <v>945.35</v>
          </cell>
        </row>
        <row r="45">
          <cell r="G45" t="str">
            <v>ORD1020</v>
          </cell>
          <cell r="I45" t="str">
            <v>P102</v>
          </cell>
          <cell r="J45">
            <v>2</v>
          </cell>
          <cell r="K45">
            <v>2821.8</v>
          </cell>
        </row>
        <row r="46">
          <cell r="J46"/>
        </row>
        <row r="47">
          <cell r="J47"/>
        </row>
      </sheetData>
      <sheetData sheetId="3">
        <row r="8">
          <cell r="B8" t="str">
            <v>Laptop</v>
          </cell>
          <cell r="C8">
            <v>15</v>
          </cell>
          <cell r="D8">
            <v>5</v>
          </cell>
          <cell r="F8">
            <v>1096.9000000000001</v>
          </cell>
          <cell r="G8">
            <v>123.33343749999999</v>
          </cell>
          <cell r="H8">
            <v>0</v>
          </cell>
          <cell r="I8">
            <v>1</v>
          </cell>
          <cell r="J8">
            <v>4</v>
          </cell>
        </row>
        <row r="9">
          <cell r="C9">
            <v>30</v>
          </cell>
          <cell r="D9">
            <v>12</v>
          </cell>
          <cell r="F9">
            <v>1410.9</v>
          </cell>
          <cell r="G9">
            <v>244.47718749999999</v>
          </cell>
          <cell r="H9">
            <v>3</v>
          </cell>
          <cell r="I9">
            <v>4</v>
          </cell>
          <cell r="J9">
            <v>5</v>
          </cell>
        </row>
        <row r="10">
          <cell r="C10">
            <v>30</v>
          </cell>
          <cell r="D10">
            <v>11</v>
          </cell>
          <cell r="F10">
            <v>51.13</v>
          </cell>
          <cell r="G10">
            <v>78.086093750000003</v>
          </cell>
          <cell r="H10">
            <v>7</v>
          </cell>
          <cell r="I10">
            <v>0</v>
          </cell>
          <cell r="J10">
            <v>4</v>
          </cell>
        </row>
        <row r="11">
          <cell r="C11">
            <v>30</v>
          </cell>
          <cell r="D11">
            <v>12</v>
          </cell>
          <cell r="F11">
            <v>1488.71</v>
          </cell>
          <cell r="G11">
            <v>171.67937500000002</v>
          </cell>
          <cell r="H11">
            <v>3</v>
          </cell>
          <cell r="I11">
            <v>5</v>
          </cell>
          <cell r="J11">
            <v>4</v>
          </cell>
        </row>
        <row r="12">
          <cell r="C12">
            <v>30</v>
          </cell>
          <cell r="D12">
            <v>10</v>
          </cell>
          <cell r="F12">
            <v>945.35</v>
          </cell>
          <cell r="G12">
            <v>141.76093749999998</v>
          </cell>
          <cell r="H12">
            <v>1</v>
          </cell>
          <cell r="I12">
            <v>5</v>
          </cell>
          <cell r="J12">
            <v>4</v>
          </cell>
        </row>
        <row r="13">
          <cell r="C13">
            <v>15</v>
          </cell>
          <cell r="D13">
            <v>12</v>
          </cell>
          <cell r="F13">
            <v>936.9</v>
          </cell>
          <cell r="G13">
            <v>125.98906250000002</v>
          </cell>
          <cell r="H13">
            <v>3</v>
          </cell>
          <cell r="I13">
            <v>5</v>
          </cell>
          <cell r="J13">
            <v>4</v>
          </cell>
        </row>
        <row r="14">
          <cell r="C14">
            <v>15</v>
          </cell>
          <cell r="D14">
            <v>4</v>
          </cell>
          <cell r="F14">
            <v>60.25</v>
          </cell>
          <cell r="G14">
            <v>36.673437499999999</v>
          </cell>
          <cell r="H14">
            <v>0</v>
          </cell>
          <cell r="I14">
            <v>0</v>
          </cell>
          <cell r="J14">
            <v>4</v>
          </cell>
        </row>
        <row r="15">
          <cell r="C15">
            <v>15</v>
          </cell>
          <cell r="D15">
            <v>5</v>
          </cell>
          <cell r="F15">
            <v>83.44</v>
          </cell>
          <cell r="G15">
            <v>40.884374999999999</v>
          </cell>
          <cell r="H15">
            <v>2</v>
          </cell>
          <cell r="I15">
            <v>3</v>
          </cell>
          <cell r="J15">
            <v>0</v>
          </cell>
        </row>
        <row r="16">
          <cell r="C16">
            <v>15</v>
          </cell>
          <cell r="D16">
            <v>11</v>
          </cell>
          <cell r="F16">
            <v>810.92</v>
          </cell>
          <cell r="G16">
            <v>134.456875</v>
          </cell>
          <cell r="H16">
            <v>5</v>
          </cell>
          <cell r="I16">
            <v>5</v>
          </cell>
          <cell r="J16">
            <v>1</v>
          </cell>
        </row>
        <row r="19">
          <cell r="F19">
            <v>71116.87</v>
          </cell>
          <cell r="H19">
            <v>3068.8535937500001</v>
          </cell>
          <cell r="I19">
            <v>4093.3265624999995</v>
          </cell>
          <cell r="J19">
            <v>4066.9321875000001</v>
          </cell>
        </row>
        <row r="21">
          <cell r="G21">
            <v>11229.112343749999</v>
          </cell>
        </row>
      </sheetData>
      <sheetData sheetId="4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20importdata" growShrinkType="overwriteClear" adjustColumnWidth="0" connectionId="1" xr16:uid="{A53A1A45-8BA6-439C-9A4D-6B3C529F151F}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growShrinkType="overwriteClear" adjustColumnWidth="0" connectionId="2" xr16:uid="{6D8D4FB8-D85C-4B4B-98F9-3B74B0FA600A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0.xml"/><Relationship Id="rId4" Type="http://schemas.openxmlformats.org/officeDocument/2006/relationships/image" Target="../media/image4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7568C-262D-42B0-A842-7DE89705FF38}">
  <sheetPr codeName="Sheet10"/>
  <dimension ref="A1:N44"/>
  <sheetViews>
    <sheetView workbookViewId="0">
      <selection activeCell="G3" sqref="G3"/>
    </sheetView>
  </sheetViews>
  <sheetFormatPr defaultRowHeight="14.4"/>
  <cols>
    <col min="3" max="3" width="10.578125" bestFit="1" customWidth="1"/>
    <col min="4" max="4" width="14.41796875" customWidth="1"/>
    <col min="5" max="5" width="13" customWidth="1"/>
    <col min="6" max="6" width="19" customWidth="1"/>
    <col min="7" max="7" width="18" customWidth="1"/>
    <col min="8" max="8" width="13.68359375" customWidth="1"/>
    <col min="9" max="9" width="14.578125" customWidth="1"/>
    <col min="10" max="10" width="13.83984375" customWidth="1"/>
    <col min="12" max="15" width="9" customWidth="1"/>
  </cols>
  <sheetData>
    <row r="1" spans="1:14" s="54" customFormat="1" ht="53.65" customHeight="1">
      <c r="A1" s="65"/>
      <c r="B1" s="66"/>
      <c r="C1" s="66"/>
      <c r="D1" s="66"/>
      <c r="E1" s="67"/>
      <c r="F1" s="53"/>
    </row>
    <row r="2" spans="1:14" s="50" customFormat="1" ht="18.3">
      <c r="A2" s="85" t="s">
        <v>191</v>
      </c>
      <c r="B2" s="52"/>
      <c r="C2" s="52"/>
      <c r="J2" s="84"/>
    </row>
    <row r="5" spans="1:14">
      <c r="B5" s="31" t="s">
        <v>0</v>
      </c>
      <c r="C5" s="31" t="s">
        <v>1</v>
      </c>
      <c r="D5" s="31" t="s">
        <v>2</v>
      </c>
      <c r="E5" s="40" t="s">
        <v>5</v>
      </c>
      <c r="F5" s="40" t="s">
        <v>6</v>
      </c>
      <c r="G5" s="40" t="s">
        <v>64</v>
      </c>
      <c r="H5" s="31" t="s">
        <v>7</v>
      </c>
      <c r="I5" s="31" t="s">
        <v>8</v>
      </c>
      <c r="J5" s="31" t="s">
        <v>9</v>
      </c>
      <c r="L5" s="31" t="s">
        <v>13</v>
      </c>
      <c r="M5" s="31" t="s">
        <v>14</v>
      </c>
      <c r="N5" s="31" t="s">
        <v>15</v>
      </c>
    </row>
    <row r="6" spans="1:14">
      <c r="B6" s="36">
        <v>1</v>
      </c>
      <c r="C6" s="110">
        <v>1742</v>
      </c>
      <c r="D6" s="1">
        <v>9</v>
      </c>
      <c r="E6" s="34" cm="1">
        <f t="array" ref="E6">TREND(P1Sales,P1Price,C6)</f>
        <v>9.8925558900037629</v>
      </c>
      <c r="F6" s="34" cm="1">
        <f t="array" ref="F6">GROWTH(P1Sales,P1Price,C6)</f>
        <v>9.3577773715122348</v>
      </c>
      <c r="G6" s="33">
        <f t="shared" ref="G6:G35" si="0">$L$6*D6^2+$M$6*D6+$N$6</f>
        <v>-132.02317529391911</v>
      </c>
      <c r="H6" s="34">
        <f t="shared" ref="H6:H35" si="1">ABS(D6-E6)</f>
        <v>0.8925558900037629</v>
      </c>
      <c r="I6" s="34">
        <f t="shared" ref="I6:I35" si="2">ABS(D6-F6)</f>
        <v>0.35777737151223477</v>
      </c>
      <c r="J6" s="34">
        <f t="shared" ref="J6:J35" si="3">ABS(G6-D6)</f>
        <v>141.02317529391911</v>
      </c>
      <c r="L6" s="4" cm="1">
        <f t="array" ref="L6:N6">LINEST(P1Sales,P1Price^{1,2},TRUE,FALSE)</f>
        <v>-3.8269027693513304E-5</v>
      </c>
      <c r="M6" s="4">
        <v>0.14891659557216991</v>
      </c>
      <c r="N6" s="4">
        <v>-133.36032486282545</v>
      </c>
    </row>
    <row r="7" spans="1:14">
      <c r="B7" s="36">
        <v>2</v>
      </c>
      <c r="C7" s="110">
        <v>1789</v>
      </c>
      <c r="D7" s="1">
        <v>14</v>
      </c>
      <c r="E7" s="34" cm="1">
        <f t="array" ref="E7">TREND(P1Sales,P1Price,C7)</f>
        <v>10.593955872670524</v>
      </c>
      <c r="F7" s="34" cm="1">
        <f t="array" ref="F7">GROWTH(P1Sales,P1Price,C7)</f>
        <v>10.176688425517595</v>
      </c>
      <c r="G7" s="33">
        <f t="shared" si="0"/>
        <v>-131.282993254243</v>
      </c>
      <c r="H7" s="34">
        <f t="shared" si="1"/>
        <v>3.4060441273294764</v>
      </c>
      <c r="I7" s="34">
        <f t="shared" si="2"/>
        <v>3.8233115744824051</v>
      </c>
      <c r="J7" s="34">
        <f t="shared" si="3"/>
        <v>145.282993254243</v>
      </c>
    </row>
    <row r="8" spans="1:14">
      <c r="B8" s="36">
        <v>3</v>
      </c>
      <c r="C8" s="110">
        <v>1715</v>
      </c>
      <c r="D8" s="1">
        <v>6</v>
      </c>
      <c r="E8" s="34" cm="1">
        <f t="array" ref="E8">TREND(P1Sales,P1Price,C8)</f>
        <v>9.4896239850675421</v>
      </c>
      <c r="F8" s="34" cm="1">
        <f t="array" ref="F8">GROWTH(P1Sales,P1Price,C8)</f>
        <v>8.9174908229210139</v>
      </c>
      <c r="G8" s="33">
        <f t="shared" si="0"/>
        <v>-132.46820297438938</v>
      </c>
      <c r="H8" s="34">
        <f t="shared" si="1"/>
        <v>3.4896239850675421</v>
      </c>
      <c r="I8" s="34">
        <f t="shared" si="2"/>
        <v>2.9174908229210139</v>
      </c>
      <c r="J8" s="34">
        <f t="shared" si="3"/>
        <v>138.46820297438938</v>
      </c>
    </row>
    <row r="9" spans="1:14">
      <c r="B9" s="36">
        <v>4</v>
      </c>
      <c r="C9" s="110">
        <v>1768</v>
      </c>
      <c r="D9" s="1">
        <v>12</v>
      </c>
      <c r="E9" s="34" cm="1">
        <f t="array" ref="E9">TREND(P1Sales,P1Price,C9)</f>
        <v>10.28056439105346</v>
      </c>
      <c r="F9" s="34" cm="1">
        <f t="array" ref="F9">GROWTH(P1Sales,P1Price,C9)</f>
        <v>9.8022902931617235</v>
      </c>
      <c r="G9" s="33">
        <f t="shared" si="0"/>
        <v>-131.57883645594728</v>
      </c>
      <c r="H9" s="34">
        <f t="shared" si="1"/>
        <v>1.7194356089465401</v>
      </c>
      <c r="I9" s="34">
        <f t="shared" si="2"/>
        <v>2.1977097068382765</v>
      </c>
      <c r="J9" s="34">
        <f t="shared" si="3"/>
        <v>143.57883645594728</v>
      </c>
    </row>
    <row r="10" spans="1:14">
      <c r="B10" s="36">
        <v>5</v>
      </c>
      <c r="C10" s="110">
        <v>1796</v>
      </c>
      <c r="D10" s="1">
        <v>8</v>
      </c>
      <c r="E10" s="34" cm="1">
        <f t="array" ref="E10">TREND(P1Sales,P1Price,C10)</f>
        <v>10.698419699876212</v>
      </c>
      <c r="F10" s="34" cm="1">
        <f t="array" ref="F10">GROWTH(P1Sales,P1Price,C10)</f>
        <v>10.3046390564164</v>
      </c>
      <c r="G10" s="33">
        <f t="shared" si="0"/>
        <v>-132.17144131602046</v>
      </c>
      <c r="H10" s="34">
        <f t="shared" si="1"/>
        <v>2.6984196998762116</v>
      </c>
      <c r="I10" s="34">
        <f t="shared" si="2"/>
        <v>2.3046390564164003</v>
      </c>
      <c r="J10" s="34">
        <f t="shared" si="3"/>
        <v>140.17144131602046</v>
      </c>
    </row>
    <row r="11" spans="1:14">
      <c r="B11" s="36">
        <v>6</v>
      </c>
      <c r="C11" s="110">
        <v>1723</v>
      </c>
      <c r="D11" s="1">
        <v>15</v>
      </c>
      <c r="E11" s="34" cm="1">
        <f t="array" ref="E11">TREND(P1Sales,P1Price,C11)</f>
        <v>9.6090112161597574</v>
      </c>
      <c r="F11" s="34" cm="1">
        <f t="array" ref="F11">GROWTH(P1Sales,P1Price,C11)</f>
        <v>9.0457413119023844</v>
      </c>
      <c r="G11" s="33">
        <f t="shared" si="0"/>
        <v>-131.13518646047393</v>
      </c>
      <c r="H11" s="34">
        <f t="shared" si="1"/>
        <v>5.3909887838402426</v>
      </c>
      <c r="I11" s="34">
        <f t="shared" si="2"/>
        <v>5.9542586880976156</v>
      </c>
      <c r="J11" s="34">
        <f t="shared" si="3"/>
        <v>146.13518646047393</v>
      </c>
    </row>
    <row r="12" spans="1:14">
      <c r="B12" s="36">
        <v>7</v>
      </c>
      <c r="C12" s="110">
        <v>1775</v>
      </c>
      <c r="D12" s="1">
        <v>7</v>
      </c>
      <c r="E12" s="34" cm="1">
        <f t="array" ref="E12">TREND(P1Sales,P1Price,C12)</f>
        <v>10.385028218259148</v>
      </c>
      <c r="F12" s="34" cm="1">
        <f t="array" ref="F12">GROWTH(P1Sales,P1Price,C12)</f>
        <v>9.9255336484479422</v>
      </c>
      <c r="G12" s="33">
        <f t="shared" si="0"/>
        <v>-132.31978387617724</v>
      </c>
      <c r="H12" s="34">
        <f t="shared" si="1"/>
        <v>3.3850282182591478</v>
      </c>
      <c r="I12" s="34">
        <f t="shared" si="2"/>
        <v>2.9255336484479422</v>
      </c>
      <c r="J12" s="34">
        <f t="shared" si="3"/>
        <v>139.31978387617724</v>
      </c>
    </row>
    <row r="13" spans="1:14">
      <c r="B13" s="36">
        <v>8</v>
      </c>
      <c r="C13" s="110">
        <v>1709</v>
      </c>
      <c r="D13" s="1">
        <v>10</v>
      </c>
      <c r="E13" s="34" cm="1">
        <f t="array" ref="E13">TREND(P1Sales,P1Price,C13)</f>
        <v>9.4000835617483816</v>
      </c>
      <c r="F13" s="34" cm="1">
        <f t="array" ref="F13">GROWTH(P1Sales,P1Price,C13)</f>
        <v>8.8224976546706326</v>
      </c>
      <c r="G13" s="33">
        <f t="shared" si="0"/>
        <v>-131.8749858098731</v>
      </c>
      <c r="H13" s="34">
        <f t="shared" si="1"/>
        <v>0.59991643825161844</v>
      </c>
      <c r="I13" s="34">
        <f t="shared" si="2"/>
        <v>1.1775023453293674</v>
      </c>
      <c r="J13" s="34">
        <f t="shared" si="3"/>
        <v>141.8749858098731</v>
      </c>
    </row>
    <row r="14" spans="1:14">
      <c r="B14" s="36">
        <v>9</v>
      </c>
      <c r="C14" s="110">
        <v>1754</v>
      </c>
      <c r="D14" s="1">
        <v>13</v>
      </c>
      <c r="E14" s="34" cm="1">
        <f t="array" ref="E14">TREND(P1Sales,P1Price,C14)</f>
        <v>10.071636736642088</v>
      </c>
      <c r="F14" s="34" cm="1">
        <f t="array" ref="F14">GROWTH(P1Sales,P1Price,C14)</f>
        <v>9.5603754451864251</v>
      </c>
      <c r="G14" s="33">
        <f t="shared" si="0"/>
        <v>-131.43087658606746</v>
      </c>
      <c r="H14" s="34">
        <f t="shared" si="1"/>
        <v>2.9283632633579124</v>
      </c>
      <c r="I14" s="34">
        <f t="shared" si="2"/>
        <v>3.4396245548135749</v>
      </c>
      <c r="J14" s="34">
        <f t="shared" si="3"/>
        <v>144.43087658606746</v>
      </c>
    </row>
    <row r="15" spans="1:14">
      <c r="B15" s="36">
        <v>10</v>
      </c>
      <c r="C15" s="110">
        <v>1731</v>
      </c>
      <c r="D15" s="1">
        <v>5</v>
      </c>
      <c r="E15" s="34" cm="1">
        <f t="array" ref="E15">TREND(P1Sales,P1Price,C15)</f>
        <v>9.7283984472519691</v>
      </c>
      <c r="F15" s="34" cm="1">
        <f t="array" ref="F15">GROWTH(P1Sales,P1Price,C15)</f>
        <v>9.1758362869898313</v>
      </c>
      <c r="G15" s="33">
        <f t="shared" si="0"/>
        <v>-132.61669861065693</v>
      </c>
      <c r="H15" s="34">
        <f t="shared" si="1"/>
        <v>4.7283984472519691</v>
      </c>
      <c r="I15" s="34">
        <f t="shared" si="2"/>
        <v>4.1758362869898313</v>
      </c>
      <c r="J15" s="34">
        <f t="shared" si="3"/>
        <v>137.61669861065693</v>
      </c>
    </row>
    <row r="16" spans="1:14">
      <c r="B16" s="36">
        <v>11</v>
      </c>
      <c r="C16" s="110">
        <v>1782</v>
      </c>
      <c r="D16" s="1">
        <v>11</v>
      </c>
      <c r="E16" s="34" cm="1">
        <f t="array" ref="E16">TREND(P1Sales,P1Price,C16)</f>
        <v>10.489492045464836</v>
      </c>
      <c r="F16" s="34" cm="1">
        <f t="array" ref="F16">GROWTH(P1Sales,P1Price,C16)</f>
        <v>10.050326531871772</v>
      </c>
      <c r="G16" s="33">
        <f t="shared" si="0"/>
        <v>-131.72687286388251</v>
      </c>
      <c r="H16" s="34">
        <f t="shared" si="1"/>
        <v>0.51050795453516429</v>
      </c>
      <c r="I16" s="34">
        <f t="shared" si="2"/>
        <v>0.94967346812822839</v>
      </c>
      <c r="J16" s="34">
        <f t="shared" si="3"/>
        <v>142.72687286388251</v>
      </c>
    </row>
    <row r="17" spans="2:10">
      <c r="B17" s="36">
        <v>12</v>
      </c>
      <c r="C17" s="110">
        <v>1718</v>
      </c>
      <c r="D17" s="1">
        <v>9</v>
      </c>
      <c r="E17" s="34" cm="1">
        <f t="array" ref="E17">TREND(P1Sales,P1Price,C17)</f>
        <v>9.5343941967271206</v>
      </c>
      <c r="F17" s="34" cm="1">
        <f t="array" ref="F17">GROWTH(P1Sales,P1Price,C17)</f>
        <v>8.9653702737016854</v>
      </c>
      <c r="G17" s="33">
        <f t="shared" si="0"/>
        <v>-132.02317529391911</v>
      </c>
      <c r="H17" s="34">
        <f t="shared" si="1"/>
        <v>0.53439419672712063</v>
      </c>
      <c r="I17" s="34">
        <f t="shared" si="2"/>
        <v>3.4629726298314623E-2</v>
      </c>
      <c r="J17" s="34">
        <f t="shared" si="3"/>
        <v>141.02317529391911</v>
      </c>
    </row>
    <row r="18" spans="2:10">
      <c r="B18" s="36">
        <v>13</v>
      </c>
      <c r="C18" s="110">
        <v>1761</v>
      </c>
      <c r="D18" s="1">
        <v>14</v>
      </c>
      <c r="E18" s="34" cm="1">
        <f t="array" ref="E18">TREND(P1Sales,P1Price,C18)</f>
        <v>10.176100563847772</v>
      </c>
      <c r="F18" s="34" cm="1">
        <f t="array" ref="F18">GROWTH(P1Sales,P1Price,C18)</f>
        <v>9.6805772258338294</v>
      </c>
      <c r="G18" s="33">
        <f t="shared" si="0"/>
        <v>-131.282993254243</v>
      </c>
      <c r="H18" s="34">
        <f t="shared" si="1"/>
        <v>3.823899436152228</v>
      </c>
      <c r="I18" s="34">
        <f t="shared" si="2"/>
        <v>4.3194227741661706</v>
      </c>
      <c r="J18" s="34">
        <f t="shared" si="3"/>
        <v>145.282993254243</v>
      </c>
    </row>
    <row r="19" spans="2:10">
      <c r="B19" s="36">
        <v>14</v>
      </c>
      <c r="C19" s="110">
        <v>1799</v>
      </c>
      <c r="D19" s="1">
        <v>6</v>
      </c>
      <c r="E19" s="34" cm="1">
        <f t="array" ref="E19">TREND(P1Sales,P1Price,C19)</f>
        <v>10.74318991153579</v>
      </c>
      <c r="F19" s="34" cm="1">
        <f t="array" ref="F19">GROWTH(P1Sales,P1Price,C19)</f>
        <v>10.359966330456993</v>
      </c>
      <c r="G19" s="33">
        <f t="shared" si="0"/>
        <v>-132.46820297438938</v>
      </c>
      <c r="H19" s="34">
        <f t="shared" si="1"/>
        <v>4.7431899115357901</v>
      </c>
      <c r="I19" s="34">
        <f t="shared" si="2"/>
        <v>4.3599663304569933</v>
      </c>
      <c r="J19" s="34">
        <f t="shared" si="3"/>
        <v>138.46820297438938</v>
      </c>
    </row>
    <row r="20" spans="2:10">
      <c r="B20" s="36">
        <v>15</v>
      </c>
      <c r="C20" s="110">
        <v>1727</v>
      </c>
      <c r="D20" s="1">
        <v>12</v>
      </c>
      <c r="E20" s="34" cm="1">
        <f t="array" ref="E20">TREND(P1Sales,P1Price,C20)</f>
        <v>9.6687048317058633</v>
      </c>
      <c r="F20" s="34" cm="1">
        <f t="array" ref="F20">GROWTH(P1Sales,P1Price,C20)</f>
        <v>9.1105565896094891</v>
      </c>
      <c r="G20" s="33">
        <f t="shared" si="0"/>
        <v>-131.57883645594728</v>
      </c>
      <c r="H20" s="34">
        <f t="shared" si="1"/>
        <v>2.3312951682941367</v>
      </c>
      <c r="I20" s="34">
        <f t="shared" si="2"/>
        <v>2.8894434103905109</v>
      </c>
      <c r="J20" s="34">
        <f t="shared" si="3"/>
        <v>143.57883645594728</v>
      </c>
    </row>
    <row r="21" spans="2:10">
      <c r="B21" s="36">
        <v>16</v>
      </c>
      <c r="C21" s="110">
        <v>1748</v>
      </c>
      <c r="D21" s="1">
        <v>8</v>
      </c>
      <c r="E21" s="34" cm="1">
        <f t="array" ref="E21">TREND(P1Sales,P1Price,C21)</f>
        <v>9.9820963133229235</v>
      </c>
      <c r="F21" s="34" cm="1">
        <f t="array" ref="F21">GROWTH(P1Sales,P1Price,C21)</f>
        <v>9.4585339775319675</v>
      </c>
      <c r="G21" s="33">
        <f t="shared" si="0"/>
        <v>-132.17144131602046</v>
      </c>
      <c r="H21" s="34">
        <f t="shared" si="1"/>
        <v>1.9820963133229235</v>
      </c>
      <c r="I21" s="34">
        <f t="shared" si="2"/>
        <v>1.4585339775319675</v>
      </c>
      <c r="J21" s="34">
        <f t="shared" si="3"/>
        <v>140.17144131602046</v>
      </c>
    </row>
    <row r="22" spans="2:10">
      <c r="B22" s="36">
        <v>17</v>
      </c>
      <c r="C22" s="110">
        <v>1770</v>
      </c>
      <c r="D22" s="1">
        <v>15</v>
      </c>
      <c r="E22" s="34" cm="1">
        <f t="array" ref="E22">TREND(P1Sales,P1Price,C22)</f>
        <v>10.310411198826515</v>
      </c>
      <c r="F22" s="34" cm="1">
        <f t="array" ref="F22">GROWTH(P1Sales,P1Price,C22)</f>
        <v>9.8373456916497428</v>
      </c>
      <c r="G22" s="33">
        <f t="shared" si="0"/>
        <v>-131.13518646047393</v>
      </c>
      <c r="H22" s="34">
        <f t="shared" si="1"/>
        <v>4.6895888011734854</v>
      </c>
      <c r="I22" s="34">
        <f t="shared" si="2"/>
        <v>5.1626543083502572</v>
      </c>
      <c r="J22" s="34">
        <f t="shared" si="3"/>
        <v>146.13518646047393</v>
      </c>
    </row>
    <row r="23" spans="2:10">
      <c r="B23" s="36">
        <v>18</v>
      </c>
      <c r="C23" s="110">
        <v>1704</v>
      </c>
      <c r="D23" s="1">
        <v>7</v>
      </c>
      <c r="E23" s="34" cm="1">
        <f t="array" ref="E23">TREND(P1Sales,P1Price,C23)</f>
        <v>9.3254665423157483</v>
      </c>
      <c r="F23" s="34" cm="1">
        <f t="array" ref="F23">GROWTH(P1Sales,P1Price,C23)</f>
        <v>8.7441101271502379</v>
      </c>
      <c r="G23" s="33">
        <f t="shared" si="0"/>
        <v>-132.31978387617724</v>
      </c>
      <c r="H23" s="34">
        <f t="shared" si="1"/>
        <v>2.3254665423157483</v>
      </c>
      <c r="I23" s="34">
        <f t="shared" si="2"/>
        <v>1.7441101271502379</v>
      </c>
      <c r="J23" s="34">
        <f t="shared" si="3"/>
        <v>139.31978387617724</v>
      </c>
    </row>
    <row r="24" spans="2:10">
      <c r="B24" s="36">
        <v>19</v>
      </c>
      <c r="C24" s="110">
        <v>1759</v>
      </c>
      <c r="D24" s="1">
        <v>10</v>
      </c>
      <c r="E24" s="34" cm="1">
        <f t="array" ref="E24">TREND(P1Sales,P1Price,C24)</f>
        <v>10.146253756074721</v>
      </c>
      <c r="F24" s="34" cm="1">
        <f t="array" ref="F24">GROWTH(P1Sales,P1Price,C24)</f>
        <v>9.6460804720465028</v>
      </c>
      <c r="G24" s="33">
        <f t="shared" si="0"/>
        <v>-131.8749858098731</v>
      </c>
      <c r="H24" s="34">
        <f t="shared" si="1"/>
        <v>0.1462537560747208</v>
      </c>
      <c r="I24" s="34">
        <f t="shared" si="2"/>
        <v>0.35391952795349724</v>
      </c>
      <c r="J24" s="34">
        <f t="shared" si="3"/>
        <v>141.8749858098731</v>
      </c>
    </row>
    <row r="25" spans="2:10">
      <c r="B25" s="36">
        <v>20</v>
      </c>
      <c r="C25" s="110">
        <v>1786</v>
      </c>
      <c r="D25" s="1">
        <v>13</v>
      </c>
      <c r="E25" s="34" cm="1">
        <f t="array" ref="E25">TREND(P1Sales,P1Price,C25)</f>
        <v>10.549185661010942</v>
      </c>
      <c r="F25" s="34" cm="1">
        <f t="array" ref="F25">GROWTH(P1Sales,P1Price,C25)</f>
        <v>10.122339944896664</v>
      </c>
      <c r="G25" s="33">
        <f t="shared" si="0"/>
        <v>-131.43087658606746</v>
      </c>
      <c r="H25" s="34">
        <f t="shared" si="1"/>
        <v>2.4508143389890584</v>
      </c>
      <c r="I25" s="34">
        <f t="shared" si="2"/>
        <v>2.8776600551033358</v>
      </c>
      <c r="J25" s="34">
        <f t="shared" si="3"/>
        <v>144.43087658606746</v>
      </c>
    </row>
    <row r="26" spans="2:10">
      <c r="B26" s="36">
        <v>21</v>
      </c>
      <c r="C26" s="110">
        <v>1736</v>
      </c>
      <c r="D26" s="1">
        <v>5</v>
      </c>
      <c r="E26" s="34" cm="1">
        <f t="array" ref="E26">TREND(P1Sales,P1Price,C26)</f>
        <v>9.8030154666846023</v>
      </c>
      <c r="F26" s="34" cm="1">
        <f t="array" ref="F26">GROWTH(P1Sales,P1Price,C26)</f>
        <v>9.2580940706876511</v>
      </c>
      <c r="G26" s="33">
        <f t="shared" si="0"/>
        <v>-132.61669861065693</v>
      </c>
      <c r="H26" s="34">
        <f t="shared" si="1"/>
        <v>4.8030154666846023</v>
      </c>
      <c r="I26" s="34">
        <f t="shared" si="2"/>
        <v>4.2580940706876511</v>
      </c>
      <c r="J26" s="34">
        <f t="shared" si="3"/>
        <v>137.61669861065693</v>
      </c>
    </row>
    <row r="27" spans="2:10">
      <c r="B27" s="36">
        <v>22</v>
      </c>
      <c r="C27" s="110">
        <v>1712</v>
      </c>
      <c r="D27" s="1">
        <v>11</v>
      </c>
      <c r="E27" s="34" cm="1">
        <f t="array" ref="E27">TREND(P1Sales,P1Price,C27)</f>
        <v>9.4448537734079601</v>
      </c>
      <c r="F27" s="34" cm="1">
        <f t="array" ref="F27">GROWTH(P1Sales,P1Price,C27)</f>
        <v>8.8698670717642418</v>
      </c>
      <c r="G27" s="33">
        <f t="shared" si="0"/>
        <v>-131.72687286388251</v>
      </c>
      <c r="H27" s="34">
        <f t="shared" si="1"/>
        <v>1.5551462265920399</v>
      </c>
      <c r="I27" s="34">
        <f t="shared" si="2"/>
        <v>2.1301329282357582</v>
      </c>
      <c r="J27" s="34">
        <f t="shared" si="3"/>
        <v>142.72687286388251</v>
      </c>
    </row>
    <row r="28" spans="2:10">
      <c r="B28" s="36">
        <v>23</v>
      </c>
      <c r="C28" s="110">
        <v>1765</v>
      </c>
      <c r="D28" s="1">
        <v>9</v>
      </c>
      <c r="E28" s="34" cm="1">
        <f t="array" ref="E28">TREND(P1Sales,P1Price,C28)</f>
        <v>10.235794179393881</v>
      </c>
      <c r="F28" s="34" cm="1">
        <f t="array" ref="F28">GROWTH(P1Sales,P1Price,C28)</f>
        <v>9.7499412812078123</v>
      </c>
      <c r="G28" s="33">
        <f t="shared" si="0"/>
        <v>-132.02317529391911</v>
      </c>
      <c r="H28" s="34">
        <f t="shared" si="1"/>
        <v>1.2357941793938814</v>
      </c>
      <c r="I28" s="34">
        <f t="shared" si="2"/>
        <v>0.74994128120781234</v>
      </c>
      <c r="J28" s="34">
        <f t="shared" si="3"/>
        <v>141.02317529391911</v>
      </c>
    </row>
    <row r="29" spans="2:10">
      <c r="B29" s="36">
        <v>24</v>
      </c>
      <c r="C29" s="110">
        <v>1793</v>
      </c>
      <c r="D29" s="1">
        <v>14</v>
      </c>
      <c r="E29" s="34" cm="1">
        <f t="array" ref="E29">TREND(P1Sales,P1Price,C29)</f>
        <v>10.653649488216629</v>
      </c>
      <c r="F29" s="34" cm="1">
        <f t="array" ref="F29">GROWTH(P1Sales,P1Price,C29)</f>
        <v>10.249607257009128</v>
      </c>
      <c r="G29" s="33">
        <f t="shared" si="0"/>
        <v>-131.282993254243</v>
      </c>
      <c r="H29" s="34">
        <f t="shared" si="1"/>
        <v>3.3463505117833705</v>
      </c>
      <c r="I29" s="34">
        <f t="shared" si="2"/>
        <v>3.7503927429908721</v>
      </c>
      <c r="J29" s="34">
        <f t="shared" si="3"/>
        <v>145.282993254243</v>
      </c>
    </row>
    <row r="30" spans="2:10">
      <c r="B30" s="36">
        <v>25</v>
      </c>
      <c r="C30" s="110">
        <v>1720</v>
      </c>
      <c r="D30" s="1">
        <v>6</v>
      </c>
      <c r="E30" s="34" cm="1">
        <f t="array" ref="E30">TREND(P1Sales,P1Price,C30)</f>
        <v>9.5642410045001753</v>
      </c>
      <c r="F30" s="34" cm="1">
        <f t="array" ref="F30">GROWTH(P1Sales,P1Price,C30)</f>
        <v>8.9974326405708371</v>
      </c>
      <c r="G30" s="33">
        <f t="shared" si="0"/>
        <v>-132.46820297438938</v>
      </c>
      <c r="H30" s="34">
        <f t="shared" si="1"/>
        <v>3.5642410045001753</v>
      </c>
      <c r="I30" s="34">
        <f t="shared" si="2"/>
        <v>2.9974326405708371</v>
      </c>
      <c r="J30" s="34">
        <f t="shared" si="3"/>
        <v>138.46820297438938</v>
      </c>
    </row>
    <row r="31" spans="2:10">
      <c r="B31" s="36">
        <v>26</v>
      </c>
      <c r="C31" s="110">
        <v>1745</v>
      </c>
      <c r="D31" s="1">
        <v>12</v>
      </c>
      <c r="E31" s="34" cm="1">
        <f t="array" ref="E31">TREND(P1Sales,P1Price,C31)</f>
        <v>9.937326101663345</v>
      </c>
      <c r="F31" s="34" cm="1">
        <f t="array" ref="F31">GROWTH(P1Sales,P1Price,C31)</f>
        <v>9.4080207919959609</v>
      </c>
      <c r="G31" s="33">
        <f t="shared" si="0"/>
        <v>-131.57883645594728</v>
      </c>
      <c r="H31" s="34">
        <f t="shared" si="1"/>
        <v>2.062673898336655</v>
      </c>
      <c r="I31" s="34">
        <f t="shared" si="2"/>
        <v>2.5919792080040391</v>
      </c>
      <c r="J31" s="34">
        <f t="shared" si="3"/>
        <v>143.57883645594728</v>
      </c>
    </row>
    <row r="32" spans="2:10">
      <c r="B32" s="36">
        <v>27</v>
      </c>
      <c r="C32" s="110">
        <v>1778</v>
      </c>
      <c r="D32" s="1">
        <v>8</v>
      </c>
      <c r="E32" s="34" cm="1">
        <f t="array" ref="E32">TREND(P1Sales,P1Price,C32)</f>
        <v>10.42979842991873</v>
      </c>
      <c r="F32" s="34" cm="1">
        <f t="array" ref="F32">GROWTH(P1Sales,P1Price,C32)</f>
        <v>9.9788254442265547</v>
      </c>
      <c r="G32" s="33">
        <f t="shared" si="0"/>
        <v>-132.17144131602046</v>
      </c>
      <c r="H32" s="34">
        <f t="shared" si="1"/>
        <v>2.4297984299187299</v>
      </c>
      <c r="I32" s="34">
        <f t="shared" si="2"/>
        <v>1.9788254442265547</v>
      </c>
      <c r="J32" s="34">
        <f t="shared" si="3"/>
        <v>140.17144131602046</v>
      </c>
    </row>
    <row r="33" spans="2:14">
      <c r="B33" s="36">
        <v>28</v>
      </c>
      <c r="C33" s="110">
        <v>1707</v>
      </c>
      <c r="D33" s="1">
        <v>15</v>
      </c>
      <c r="E33" s="34" cm="1">
        <f t="array" ref="E33">TREND(P1Sales,P1Price,C33)</f>
        <v>9.3702367539753268</v>
      </c>
      <c r="F33" s="34" cm="1">
        <f t="array" ref="F33">GROWTH(P1Sales,P1Price,C33)</f>
        <v>8.7910586689281018</v>
      </c>
      <c r="G33" s="33">
        <f t="shared" si="0"/>
        <v>-131.13518646047393</v>
      </c>
      <c r="H33" s="34">
        <f t="shared" si="1"/>
        <v>5.6297632460246732</v>
      </c>
      <c r="I33" s="34">
        <f t="shared" si="2"/>
        <v>6.2089413310718982</v>
      </c>
      <c r="J33" s="34">
        <f t="shared" si="3"/>
        <v>146.13518646047393</v>
      </c>
    </row>
    <row r="34" spans="2:14">
      <c r="B34" s="36">
        <v>29</v>
      </c>
      <c r="C34" s="110">
        <v>1751</v>
      </c>
      <c r="D34" s="1">
        <v>7</v>
      </c>
      <c r="E34" s="34" cm="1">
        <f t="array" ref="E34">TREND(P1Sales,P1Price,C34)</f>
        <v>10.026866524982506</v>
      </c>
      <c r="F34" s="34" cm="1">
        <f t="array" ref="F34">GROWTH(P1Sales,P1Price,C34)</f>
        <v>9.5093183765324714</v>
      </c>
      <c r="G34" s="33">
        <f t="shared" si="0"/>
        <v>-132.31978387617724</v>
      </c>
      <c r="H34" s="34">
        <f t="shared" si="1"/>
        <v>3.0268665249825055</v>
      </c>
      <c r="I34" s="34">
        <f t="shared" si="2"/>
        <v>2.5093183765324714</v>
      </c>
      <c r="J34" s="34">
        <f t="shared" si="3"/>
        <v>139.31978387617724</v>
      </c>
    </row>
    <row r="35" spans="2:14">
      <c r="B35" s="36">
        <v>30</v>
      </c>
      <c r="C35" s="110">
        <v>1780</v>
      </c>
      <c r="D35" s="1">
        <v>10</v>
      </c>
      <c r="E35" s="34" cm="1">
        <f t="array" ref="E35">TREND(P1Sales,P1Price,C35)</f>
        <v>10.459645237691781</v>
      </c>
      <c r="F35" s="34" cm="1">
        <f t="array" ref="F35">GROWTH(P1Sales,P1Price,C35)</f>
        <v>10.014512175789056</v>
      </c>
      <c r="G35" s="33">
        <f t="shared" si="0"/>
        <v>-131.8749858098731</v>
      </c>
      <c r="H35" s="34">
        <f t="shared" si="1"/>
        <v>0.45964523769178101</v>
      </c>
      <c r="I35" s="34">
        <f t="shared" si="2"/>
        <v>1.4512175789056059E-2</v>
      </c>
      <c r="J35" s="34">
        <f t="shared" si="3"/>
        <v>141.8749858098731</v>
      </c>
    </row>
    <row r="38" spans="2:14">
      <c r="B38" s="31" t="s">
        <v>20</v>
      </c>
      <c r="C38" s="31" t="s">
        <v>63</v>
      </c>
      <c r="D38" s="31" t="s">
        <v>16</v>
      </c>
      <c r="E38" s="38" t="s">
        <v>17</v>
      </c>
      <c r="F38" s="38" t="s">
        <v>18</v>
      </c>
      <c r="G38" s="38" t="s">
        <v>19</v>
      </c>
      <c r="N38" s="37"/>
    </row>
    <row r="39" spans="2:14">
      <c r="B39" s="36">
        <v>31</v>
      </c>
      <c r="C39" s="110">
        <v>1739</v>
      </c>
      <c r="D39" s="35">
        <f ca="1">OFFSET(D38,1,MATCH(H43,H42:J42,0))</f>
        <v>9.3078022754038212</v>
      </c>
      <c r="E39" s="34" cm="1">
        <f t="array" ref="E39">TREND(P1Sales,P1Price,C39)</f>
        <v>9.8477856783441844</v>
      </c>
      <c r="F39" s="34" cm="1">
        <f t="array" ref="F39">GROWTH(P1Sales,P1Price,C39)</f>
        <v>9.3078022754038212</v>
      </c>
      <c r="G39" s="33">
        <f ca="1">$L$6*D39^2+$M$6*D39+$N$6</f>
        <v>-131.97755407993844</v>
      </c>
    </row>
    <row r="40" spans="2:14">
      <c r="N40" s="32"/>
    </row>
    <row r="41" spans="2:14">
      <c r="G41" s="30"/>
      <c r="H41" s="31" t="s">
        <v>62</v>
      </c>
      <c r="I41" s="31" t="s">
        <v>61</v>
      </c>
      <c r="J41" s="31" t="s">
        <v>60</v>
      </c>
    </row>
    <row r="42" spans="2:14">
      <c r="G42" s="30" t="s">
        <v>10</v>
      </c>
      <c r="H42" s="29">
        <f>AVERAGE(AvgLinError)</f>
        <v>2.6963191869071079</v>
      </c>
      <c r="I42" s="28">
        <f>AVERAGE(AvgExpError)</f>
        <v>2.6871089320231705</v>
      </c>
      <c r="J42" s="28">
        <f>AVERAGE(AvgPolyError)</f>
        <v>141.90375708147809</v>
      </c>
    </row>
    <row r="43" spans="2:14">
      <c r="G43" s="25" t="s">
        <v>11</v>
      </c>
      <c r="H43" s="27">
        <f>MIN(H42:J42)</f>
        <v>2.6871089320231705</v>
      </c>
      <c r="I43" s="22"/>
      <c r="J43" s="22"/>
    </row>
    <row r="44" spans="2:14">
      <c r="B44" s="1"/>
      <c r="C44" s="26"/>
      <c r="D44" s="1"/>
      <c r="G44" s="25" t="s">
        <v>12</v>
      </c>
      <c r="H44" s="24" t="str">
        <f ca="1">OFFSET(G41,0,MATCH(H43,H42:J42,0))</f>
        <v>Exponential Error</v>
      </c>
      <c r="I44" s="23"/>
      <c r="J44" s="2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26E76-54DE-46AE-B539-5A5E73730AF9}">
  <sheetPr codeName="Sheet13"/>
  <dimension ref="B3:N42"/>
  <sheetViews>
    <sheetView workbookViewId="0">
      <selection activeCell="T23" sqref="T23"/>
    </sheetView>
  </sheetViews>
  <sheetFormatPr defaultRowHeight="14.4"/>
  <cols>
    <col min="1" max="1" width="3.26171875" customWidth="1"/>
    <col min="4" max="4" width="13.578125" customWidth="1"/>
    <col min="5" max="5" width="13" customWidth="1"/>
    <col min="6" max="6" width="19" customWidth="1"/>
    <col min="7" max="7" width="18" customWidth="1"/>
    <col min="8" max="8" width="13.68359375" customWidth="1"/>
    <col min="9" max="9" width="14.578125" customWidth="1"/>
    <col min="10" max="10" width="13.83984375" customWidth="1"/>
    <col min="12" max="15" width="9" customWidth="1"/>
  </cols>
  <sheetData>
    <row r="3" spans="2:14">
      <c r="B3" s="31" t="s">
        <v>0</v>
      </c>
      <c r="C3" s="31" t="s">
        <v>3</v>
      </c>
      <c r="D3" s="31" t="s">
        <v>4</v>
      </c>
      <c r="E3" s="40" t="s">
        <v>5</v>
      </c>
      <c r="F3" s="40" t="s">
        <v>6</v>
      </c>
      <c r="G3" s="40" t="s">
        <v>64</v>
      </c>
      <c r="H3" s="31" t="s">
        <v>7</v>
      </c>
      <c r="I3" s="31" t="s">
        <v>8</v>
      </c>
      <c r="J3" s="31" t="s">
        <v>9</v>
      </c>
      <c r="L3" s="31" t="s">
        <v>13</v>
      </c>
      <c r="M3" s="31" t="s">
        <v>14</v>
      </c>
      <c r="N3" s="31" t="s">
        <v>15</v>
      </c>
    </row>
    <row r="4" spans="2:14">
      <c r="B4" s="36">
        <v>1</v>
      </c>
      <c r="C4" s="110">
        <v>437</v>
      </c>
      <c r="D4" s="39">
        <v>19</v>
      </c>
      <c r="E4" s="34" cm="1">
        <f t="array" ref="E4">TREND(P2Sales,P2Price,C4)</f>
        <v>18.972052248485493</v>
      </c>
      <c r="F4" s="34" cm="1">
        <f t="array" ref="F4">GROWTH(P2Sales,P2Price,C4)</f>
        <v>18.716161953224649</v>
      </c>
      <c r="G4" s="34">
        <f t="shared" ref="G4:G33" si="0">$L$4*D4^2+$M$4*D4+$N$4</f>
        <v>1.8898464111035895</v>
      </c>
      <c r="H4" s="34">
        <f t="shared" ref="H4:H33" si="1">ABS(D4-E4)</f>
        <v>2.7947751514506791E-2</v>
      </c>
      <c r="I4" s="34">
        <f t="shared" ref="I4:I33" si="2">ABS(D4-F4)</f>
        <v>0.28383804677535096</v>
      </c>
      <c r="J4" s="34">
        <f t="shared" ref="J4:J33" si="3">ABS(G4-D4)</f>
        <v>17.110153588896409</v>
      </c>
      <c r="L4" s="4" cm="1">
        <f t="array" ref="L4:N4">LINEST(P2Sales,P2Price^{1,2},TRUE,FALSE)</f>
        <v>5.3040040175068561E-5</v>
      </c>
      <c r="M4" s="4">
        <v>1.6594388358337171E-2</v>
      </c>
      <c r="N4" s="4">
        <v>1.5554055777919835</v>
      </c>
    </row>
    <row r="5" spans="2:14">
      <c r="B5" s="36">
        <v>2</v>
      </c>
      <c r="C5" s="110">
        <v>492</v>
      </c>
      <c r="D5" s="39">
        <v>23</v>
      </c>
      <c r="E5" s="34" cm="1">
        <f t="array" ref="E5">TREND(P2Sales,P2Price,C5)</f>
        <v>22.516297132742285</v>
      </c>
      <c r="F5" s="34" cm="1">
        <f t="array" ref="F5">GROWTH(P2Sales,P2Price,C5)</f>
        <v>22.426676333658964</v>
      </c>
      <c r="G5" s="34">
        <f t="shared" si="0"/>
        <v>1.9651346912863497</v>
      </c>
      <c r="H5" s="34">
        <f t="shared" si="1"/>
        <v>0.4837028672577155</v>
      </c>
      <c r="I5" s="34">
        <f t="shared" si="2"/>
        <v>0.57332366634103593</v>
      </c>
      <c r="J5" s="34">
        <f t="shared" si="3"/>
        <v>21.034865308713652</v>
      </c>
    </row>
    <row r="6" spans="2:14">
      <c r="B6" s="36">
        <v>3</v>
      </c>
      <c r="C6" s="110">
        <v>415</v>
      </c>
      <c r="D6" s="39">
        <v>15</v>
      </c>
      <c r="E6" s="34" cm="1">
        <f t="array" ref="E6">TREND(P2Sales,P2Price,C6)</f>
        <v>17.55435429478278</v>
      </c>
      <c r="F6" s="34" cm="1">
        <f t="array" ref="F6">GROWTH(P2Sales,P2Price,C6)</f>
        <v>17.409950897425293</v>
      </c>
      <c r="G6" s="34">
        <f t="shared" si="0"/>
        <v>1.8162554122064316</v>
      </c>
      <c r="H6" s="34">
        <f t="shared" si="1"/>
        <v>2.5543542947827795</v>
      </c>
      <c r="I6" s="34">
        <f t="shared" si="2"/>
        <v>2.4099508974252934</v>
      </c>
      <c r="J6" s="34">
        <f t="shared" si="3"/>
        <v>13.183744587793569</v>
      </c>
    </row>
    <row r="7" spans="2:14">
      <c r="B7" s="36">
        <v>4</v>
      </c>
      <c r="C7" s="110">
        <v>468</v>
      </c>
      <c r="D7" s="39">
        <v>25</v>
      </c>
      <c r="E7" s="34" cm="1">
        <f t="array" ref="E7">TREND(P2Sales,P2Price,C7)</f>
        <v>20.969717546884777</v>
      </c>
      <c r="F7" s="34" cm="1">
        <f t="array" ref="F7">GROWTH(P2Sales,P2Price,C7)</f>
        <v>20.724753400776574</v>
      </c>
      <c r="G7" s="34">
        <f t="shared" si="0"/>
        <v>2.0034153118598308</v>
      </c>
      <c r="H7" s="34">
        <f t="shared" si="1"/>
        <v>4.0302824531152233</v>
      </c>
      <c r="I7" s="34">
        <f t="shared" si="2"/>
        <v>4.2752465992234256</v>
      </c>
      <c r="J7" s="34">
        <f t="shared" si="3"/>
        <v>22.996584688140167</v>
      </c>
    </row>
    <row r="8" spans="2:14">
      <c r="B8" s="36">
        <v>5</v>
      </c>
      <c r="C8" s="110">
        <v>499</v>
      </c>
      <c r="D8" s="39">
        <v>20</v>
      </c>
      <c r="E8" s="34" cm="1">
        <f t="array" ref="E8">TREND(P2Sales,P2Price,C8)</f>
        <v>22.967382845284057</v>
      </c>
      <c r="F8" s="34" cm="1">
        <f t="array" ref="F8">GROWTH(P2Sales,P2Price,C8)</f>
        <v>22.948903979162132</v>
      </c>
      <c r="G8" s="34">
        <f t="shared" si="0"/>
        <v>1.9085093610287545</v>
      </c>
      <c r="H8" s="34">
        <f t="shared" si="1"/>
        <v>2.9673828452840567</v>
      </c>
      <c r="I8" s="34">
        <f t="shared" si="2"/>
        <v>2.9489039791621323</v>
      </c>
      <c r="J8" s="34">
        <f t="shared" si="3"/>
        <v>18.091490638971244</v>
      </c>
    </row>
    <row r="9" spans="2:14">
      <c r="B9" s="36">
        <v>6</v>
      </c>
      <c r="C9" s="110">
        <v>423</v>
      </c>
      <c r="D9" s="39">
        <v>17</v>
      </c>
      <c r="E9" s="34" cm="1">
        <f t="array" ref="E9">TREND(P2Sales,P2Price,C9)</f>
        <v>18.069880823401949</v>
      </c>
      <c r="F9" s="34" cm="1">
        <f t="array" ref="F9">GROWTH(P2Sales,P2Price,C9)</f>
        <v>17.874040080004605</v>
      </c>
      <c r="G9" s="34">
        <f t="shared" si="0"/>
        <v>1.8528387514943101</v>
      </c>
      <c r="H9" s="34">
        <f t="shared" si="1"/>
        <v>1.0698808234019488</v>
      </c>
      <c r="I9" s="34">
        <f t="shared" si="2"/>
        <v>0.87404008000460465</v>
      </c>
      <c r="J9" s="34">
        <f t="shared" si="3"/>
        <v>15.147161248505689</v>
      </c>
    </row>
    <row r="10" spans="2:14">
      <c r="B10" s="36">
        <v>7</v>
      </c>
      <c r="C10" s="110">
        <v>475</v>
      </c>
      <c r="D10" s="39">
        <v>22</v>
      </c>
      <c r="E10" s="34" cm="1">
        <f t="array" ref="E10">TREND(P2Sales,P2Price,C10)</f>
        <v>21.420803259426549</v>
      </c>
      <c r="F10" s="34" cm="1">
        <f t="array" ref="F10">GROWTH(P2Sales,P2Price,C10)</f>
        <v>21.207350064281176</v>
      </c>
      <c r="G10" s="34">
        <f t="shared" si="0"/>
        <v>1.9461535011201345</v>
      </c>
      <c r="H10" s="34">
        <f t="shared" si="1"/>
        <v>0.57919674057345105</v>
      </c>
      <c r="I10" s="34">
        <f t="shared" si="2"/>
        <v>0.79264993571882414</v>
      </c>
      <c r="J10" s="34">
        <f t="shared" si="3"/>
        <v>20.053846498879864</v>
      </c>
    </row>
    <row r="11" spans="2:14">
      <c r="B11" s="36">
        <v>8</v>
      </c>
      <c r="C11" s="110">
        <v>409</v>
      </c>
      <c r="D11" s="39">
        <v>16</v>
      </c>
      <c r="E11" s="34" cm="1">
        <f t="array" ref="E11">TREND(P2Sales,P2Price,C11)</f>
        <v>17.167709398318401</v>
      </c>
      <c r="F11" s="34" cm="1">
        <f t="array" ref="F11">GROWTH(P2Sales,P2Price,C11)</f>
        <v>17.069808948012803</v>
      </c>
      <c r="G11" s="34">
        <f t="shared" si="0"/>
        <v>1.8344940418101958</v>
      </c>
      <c r="H11" s="34">
        <f t="shared" si="1"/>
        <v>1.1677093983184008</v>
      </c>
      <c r="I11" s="34">
        <f t="shared" si="2"/>
        <v>1.0698089480128026</v>
      </c>
      <c r="J11" s="34">
        <f t="shared" si="3"/>
        <v>14.165505958189804</v>
      </c>
    </row>
    <row r="12" spans="2:14">
      <c r="B12" s="36">
        <v>9</v>
      </c>
      <c r="C12" s="110">
        <v>454</v>
      </c>
      <c r="D12" s="39">
        <v>21</v>
      </c>
      <c r="E12" s="34" cm="1">
        <f t="array" ref="E12">TREND(P2Sales,P2Price,C12)</f>
        <v>20.067546121801229</v>
      </c>
      <c r="F12" s="34" cm="1">
        <f t="array" ref="F12">GROWTH(P2Sales,P2Price,C12)</f>
        <v>19.792256225367247</v>
      </c>
      <c r="G12" s="34">
        <f t="shared" si="0"/>
        <v>1.9272783910342692</v>
      </c>
      <c r="H12" s="34">
        <f t="shared" si="1"/>
        <v>0.93245387819877124</v>
      </c>
      <c r="I12" s="34">
        <f t="shared" si="2"/>
        <v>1.2077437746327533</v>
      </c>
      <c r="J12" s="34">
        <f t="shared" si="3"/>
        <v>19.072721608965729</v>
      </c>
    </row>
    <row r="13" spans="2:14">
      <c r="B13" s="36">
        <v>10</v>
      </c>
      <c r="C13" s="110">
        <v>431</v>
      </c>
      <c r="D13" s="39">
        <v>24</v>
      </c>
      <c r="E13" s="34" cm="1">
        <f t="array" ref="E13">TREND(P2Sales,P2Price,C13)</f>
        <v>18.585407352021118</v>
      </c>
      <c r="F13" s="34" cm="1">
        <f t="array" ref="F13">GROWTH(P2Sales,P2Price,C13)</f>
        <v>18.350500277910495</v>
      </c>
      <c r="G13" s="34">
        <f t="shared" si="0"/>
        <v>1.9842219615329151</v>
      </c>
      <c r="H13" s="34">
        <f t="shared" si="1"/>
        <v>5.414592647978882</v>
      </c>
      <c r="I13" s="34">
        <f t="shared" si="2"/>
        <v>5.6494997220895051</v>
      </c>
      <c r="J13" s="34">
        <f t="shared" si="3"/>
        <v>22.015778038467086</v>
      </c>
    </row>
    <row r="14" spans="2:14">
      <c r="B14" s="36">
        <v>11</v>
      </c>
      <c r="C14" s="110">
        <v>482</v>
      </c>
      <c r="D14" s="39">
        <v>18</v>
      </c>
      <c r="E14" s="34" cm="1">
        <f t="array" ref="E14">TREND(P2Sales,P2Price,C14)</f>
        <v>21.871888971968321</v>
      </c>
      <c r="F14" s="34" cm="1">
        <f t="array" ref="F14">GROWTH(P2Sales,P2Price,C14)</f>
        <v>21.701184474991834</v>
      </c>
      <c r="G14" s="34">
        <f t="shared" si="0"/>
        <v>1.8712895412587749</v>
      </c>
      <c r="H14" s="34">
        <f t="shared" si="1"/>
        <v>3.8718889719683212</v>
      </c>
      <c r="I14" s="34">
        <f t="shared" si="2"/>
        <v>3.7011844749918339</v>
      </c>
      <c r="J14" s="34">
        <f t="shared" si="3"/>
        <v>16.128710458741224</v>
      </c>
    </row>
    <row r="15" spans="2:14">
      <c r="B15" s="36">
        <v>12</v>
      </c>
      <c r="C15" s="110">
        <v>418</v>
      </c>
      <c r="D15" s="39">
        <v>22</v>
      </c>
      <c r="E15" s="34" cm="1">
        <f t="array" ref="E15">TREND(P2Sales,P2Price,C15)</f>
        <v>17.747676743014967</v>
      </c>
      <c r="F15" s="34" cm="1">
        <f t="array" ref="F15">GROWTH(P2Sales,P2Price,C15)</f>
        <v>17.582555185861793</v>
      </c>
      <c r="G15" s="34">
        <f t="shared" si="0"/>
        <v>1.9461535011201345</v>
      </c>
      <c r="H15" s="34">
        <f t="shared" si="1"/>
        <v>4.2523232569850329</v>
      </c>
      <c r="I15" s="34">
        <f t="shared" si="2"/>
        <v>4.4174448141382072</v>
      </c>
      <c r="J15" s="34">
        <f t="shared" si="3"/>
        <v>20.053846498879864</v>
      </c>
    </row>
    <row r="16" spans="2:14">
      <c r="B16" s="36">
        <v>13</v>
      </c>
      <c r="C16" s="110">
        <v>461</v>
      </c>
      <c r="D16" s="39">
        <v>15</v>
      </c>
      <c r="E16" s="34" cm="1">
        <f t="array" ref="E16">TREND(P2Sales,P2Price,C16)</f>
        <v>20.518631834343005</v>
      </c>
      <c r="F16" s="34" cm="1">
        <f t="array" ref="F16">GROWTH(P2Sales,P2Price,C16)</f>
        <v>20.253138757133947</v>
      </c>
      <c r="G16" s="34">
        <f t="shared" si="0"/>
        <v>1.8162554122064316</v>
      </c>
      <c r="H16" s="34">
        <f t="shared" si="1"/>
        <v>5.5186318343430045</v>
      </c>
      <c r="I16" s="34">
        <f t="shared" si="2"/>
        <v>5.2531387571339465</v>
      </c>
      <c r="J16" s="34">
        <f t="shared" si="3"/>
        <v>13.183744587793569</v>
      </c>
    </row>
    <row r="17" spans="2:10">
      <c r="B17" s="36">
        <v>14</v>
      </c>
      <c r="C17" s="110">
        <v>497</v>
      </c>
      <c r="D17" s="39">
        <v>23</v>
      </c>
      <c r="E17" s="34" cm="1">
        <f t="array" ref="E17">TREND(P2Sales,P2Price,C17)</f>
        <v>22.838501213129263</v>
      </c>
      <c r="F17" s="34" cm="1">
        <f t="array" ref="F17">GROWTH(P2Sales,P2Price,C17)</f>
        <v>22.79846742477114</v>
      </c>
      <c r="G17" s="34">
        <f t="shared" si="0"/>
        <v>1.9651346912863497</v>
      </c>
      <c r="H17" s="34">
        <f t="shared" si="1"/>
        <v>0.16149878687073738</v>
      </c>
      <c r="I17" s="34">
        <f t="shared" si="2"/>
        <v>0.20153257522886037</v>
      </c>
      <c r="J17" s="34">
        <f t="shared" si="3"/>
        <v>21.034865308713652</v>
      </c>
    </row>
    <row r="18" spans="2:10">
      <c r="B18" s="36">
        <v>15</v>
      </c>
      <c r="C18" s="110">
        <v>427</v>
      </c>
      <c r="D18" s="39">
        <v>19</v>
      </c>
      <c r="E18" s="34" cm="1">
        <f t="array" ref="E18">TREND(P2Sales,P2Price,C18)</f>
        <v>18.327644087711533</v>
      </c>
      <c r="F18" s="34" cm="1">
        <f t="array" ref="F18">GROWTH(P2Sales,P2Price,C18)</f>
        <v>18.110703394830026</v>
      </c>
      <c r="G18" s="34">
        <f t="shared" si="0"/>
        <v>1.8898464111035895</v>
      </c>
      <c r="H18" s="34">
        <f t="shared" si="1"/>
        <v>0.67235591228846658</v>
      </c>
      <c r="I18" s="34">
        <f t="shared" si="2"/>
        <v>0.88929660516997444</v>
      </c>
      <c r="J18" s="34">
        <f t="shared" si="3"/>
        <v>17.110153588896409</v>
      </c>
    </row>
    <row r="19" spans="2:10">
      <c r="B19" s="36">
        <v>16</v>
      </c>
      <c r="C19" s="110">
        <v>448</v>
      </c>
      <c r="D19" s="39">
        <v>17</v>
      </c>
      <c r="E19" s="34" cm="1">
        <f t="array" ref="E19">TREND(P2Sales,P2Price,C19)</f>
        <v>19.680901225336854</v>
      </c>
      <c r="F19" s="34" cm="1">
        <f t="array" ref="F19">GROWTH(P2Sales,P2Price,C19)</f>
        <v>19.405570665170551</v>
      </c>
      <c r="G19" s="34">
        <f t="shared" si="0"/>
        <v>1.8528387514943101</v>
      </c>
      <c r="H19" s="34">
        <f t="shared" si="1"/>
        <v>2.6809012253368536</v>
      </c>
      <c r="I19" s="34">
        <f t="shared" si="2"/>
        <v>2.4055706651705506</v>
      </c>
      <c r="J19" s="34">
        <f t="shared" si="3"/>
        <v>15.147161248505689</v>
      </c>
    </row>
    <row r="20" spans="2:10">
      <c r="B20" s="36">
        <v>17</v>
      </c>
      <c r="C20" s="110">
        <v>470</v>
      </c>
      <c r="D20" s="39">
        <v>24</v>
      </c>
      <c r="E20" s="34" cm="1">
        <f t="array" ref="E20">TREND(P2Sales,P2Price,C20)</f>
        <v>21.098599179039567</v>
      </c>
      <c r="F20" s="34" cm="1">
        <f t="array" ref="F20">GROWTH(P2Sales,P2Price,C20)</f>
        <v>20.861506474311174</v>
      </c>
      <c r="G20" s="34">
        <f t="shared" si="0"/>
        <v>1.9842219615329151</v>
      </c>
      <c r="H20" s="34">
        <f t="shared" si="1"/>
        <v>2.9014008209604327</v>
      </c>
      <c r="I20" s="34">
        <f t="shared" si="2"/>
        <v>3.1384935256888262</v>
      </c>
      <c r="J20" s="34">
        <f t="shared" si="3"/>
        <v>22.015778038467086</v>
      </c>
    </row>
    <row r="21" spans="2:10">
      <c r="B21" s="36">
        <v>18</v>
      </c>
      <c r="C21" s="110">
        <v>404</v>
      </c>
      <c r="D21" s="39">
        <v>15</v>
      </c>
      <c r="E21" s="34" cm="1">
        <f t="array" ref="E21">TREND(P2Sales,P2Price,C21)</f>
        <v>16.845505317931423</v>
      </c>
      <c r="F21" s="34" cm="1">
        <f t="array" ref="F21">GROWTH(P2Sales,P2Price,C21)</f>
        <v>16.791439232381723</v>
      </c>
      <c r="G21" s="34">
        <f t="shared" si="0"/>
        <v>1.8162554122064316</v>
      </c>
      <c r="H21" s="34">
        <f t="shared" si="1"/>
        <v>1.8455053179314227</v>
      </c>
      <c r="I21" s="34">
        <f t="shared" si="2"/>
        <v>1.7914392323817232</v>
      </c>
      <c r="J21" s="34">
        <f t="shared" si="3"/>
        <v>13.183744587793569</v>
      </c>
    </row>
    <row r="22" spans="2:10">
      <c r="B22" s="36">
        <v>19</v>
      </c>
      <c r="C22" s="110">
        <v>459</v>
      </c>
      <c r="D22" s="39">
        <v>20</v>
      </c>
      <c r="E22" s="34" cm="1">
        <f t="array" ref="E22">TREND(P2Sales,P2Price,C22)</f>
        <v>20.38975020218821</v>
      </c>
      <c r="F22" s="34" cm="1">
        <f t="array" ref="F22">GROWTH(P2Sales,P2Price,C22)</f>
        <v>20.120373706001548</v>
      </c>
      <c r="G22" s="34">
        <f t="shared" si="0"/>
        <v>1.9085093610287545</v>
      </c>
      <c r="H22" s="34">
        <f t="shared" si="1"/>
        <v>0.38975020218821044</v>
      </c>
      <c r="I22" s="34">
        <f t="shared" si="2"/>
        <v>0.12037370600154773</v>
      </c>
      <c r="J22" s="34">
        <f t="shared" si="3"/>
        <v>18.091490638971244</v>
      </c>
    </row>
    <row r="23" spans="2:10">
      <c r="B23" s="36">
        <v>20</v>
      </c>
      <c r="C23" s="110">
        <v>486</v>
      </c>
      <c r="D23" s="39">
        <v>25</v>
      </c>
      <c r="E23" s="34" cm="1">
        <f t="array" ref="E23">TREND(P2Sales,P2Price,C23)</f>
        <v>22.129652236277906</v>
      </c>
      <c r="F23" s="34" cm="1">
        <f t="array" ref="F23">GROWTH(P2Sales,P2Price,C23)</f>
        <v>21.988521542073549</v>
      </c>
      <c r="G23" s="34">
        <f t="shared" si="0"/>
        <v>2.0034153118598308</v>
      </c>
      <c r="H23" s="34">
        <f t="shared" si="1"/>
        <v>2.8703477637220942</v>
      </c>
      <c r="I23" s="34">
        <f t="shared" si="2"/>
        <v>3.0114784579264509</v>
      </c>
      <c r="J23" s="34">
        <f t="shared" si="3"/>
        <v>22.996584688140167</v>
      </c>
    </row>
    <row r="24" spans="2:10">
      <c r="B24" s="36">
        <v>21</v>
      </c>
      <c r="C24" s="110">
        <v>436</v>
      </c>
      <c r="D24" s="39">
        <v>18</v>
      </c>
      <c r="E24" s="34" cm="1">
        <f t="array" ref="E24">TREND(P2Sales,P2Price,C24)</f>
        <v>18.9076114324081</v>
      </c>
      <c r="F24" s="34" cm="1">
        <f t="array" ref="F24">GROWTH(P2Sales,P2Price,C24)</f>
        <v>18.654716222318587</v>
      </c>
      <c r="G24" s="34">
        <f t="shared" si="0"/>
        <v>1.8712895412587749</v>
      </c>
      <c r="H24" s="34">
        <f t="shared" si="1"/>
        <v>0.90761143240809972</v>
      </c>
      <c r="I24" s="34">
        <f t="shared" si="2"/>
        <v>0.65471622231858717</v>
      </c>
      <c r="J24" s="34">
        <f t="shared" si="3"/>
        <v>16.128710458741224</v>
      </c>
    </row>
    <row r="25" spans="2:10">
      <c r="B25" s="36">
        <v>22</v>
      </c>
      <c r="C25" s="110">
        <v>412</v>
      </c>
      <c r="D25" s="39">
        <v>21</v>
      </c>
      <c r="E25" s="34" cm="1">
        <f t="array" ref="E25">TREND(P2Sales,P2Price,C25)</f>
        <v>17.361031846550592</v>
      </c>
      <c r="F25" s="34" cm="1">
        <f t="array" ref="F25">GROWTH(P2Sales,P2Price,C25)</f>
        <v>17.239041029399921</v>
      </c>
      <c r="G25" s="34">
        <f t="shared" si="0"/>
        <v>1.9272783910342692</v>
      </c>
      <c r="H25" s="34">
        <f t="shared" si="1"/>
        <v>3.638968153449408</v>
      </c>
      <c r="I25" s="34">
        <f t="shared" si="2"/>
        <v>3.760958970600079</v>
      </c>
      <c r="J25" s="34">
        <f t="shared" si="3"/>
        <v>19.072721608965729</v>
      </c>
    </row>
    <row r="26" spans="2:10">
      <c r="B26" s="36">
        <v>23</v>
      </c>
      <c r="C26" s="110">
        <v>465</v>
      </c>
      <c r="D26" s="39">
        <v>16</v>
      </c>
      <c r="E26" s="34" cm="1">
        <f t="array" ref="E26">TREND(P2Sales,P2Price,C26)</f>
        <v>20.776395098652589</v>
      </c>
      <c r="F26" s="34" cm="1">
        <f t="array" ref="F26">GROWTH(P2Sales,P2Price,C26)</f>
        <v>20.521302805800516</v>
      </c>
      <c r="G26" s="34">
        <f t="shared" si="0"/>
        <v>1.8344940418101958</v>
      </c>
      <c r="H26" s="34">
        <f t="shared" si="1"/>
        <v>4.7763950986525892</v>
      </c>
      <c r="I26" s="34">
        <f t="shared" si="2"/>
        <v>4.5213028058005165</v>
      </c>
      <c r="J26" s="34">
        <f t="shared" si="3"/>
        <v>14.165505958189804</v>
      </c>
    </row>
    <row r="27" spans="2:10">
      <c r="B27" s="36">
        <v>24</v>
      </c>
      <c r="C27" s="110">
        <v>493</v>
      </c>
      <c r="D27" s="39">
        <v>25</v>
      </c>
      <c r="E27" s="34" cm="1">
        <f t="array" ref="E27">TREND(P2Sales,P2Price,C27)</f>
        <v>22.580737948819682</v>
      </c>
      <c r="F27" s="34" cm="1">
        <f t="array" ref="F27">GROWTH(P2Sales,P2Price,C27)</f>
        <v>22.500546313919862</v>
      </c>
      <c r="G27" s="34">
        <f t="shared" si="0"/>
        <v>2.0034153118598308</v>
      </c>
      <c r="H27" s="34">
        <f t="shared" si="1"/>
        <v>2.4192620511803185</v>
      </c>
      <c r="I27" s="34">
        <f t="shared" si="2"/>
        <v>2.4994536860801375</v>
      </c>
      <c r="J27" s="34">
        <f t="shared" si="3"/>
        <v>22.996584688140167</v>
      </c>
    </row>
    <row r="28" spans="2:10">
      <c r="B28" s="36">
        <v>25</v>
      </c>
      <c r="C28" s="110">
        <v>420</v>
      </c>
      <c r="D28" s="39">
        <v>19</v>
      </c>
      <c r="E28" s="34" cm="1">
        <f t="array" ref="E28">TREND(P2Sales,P2Price,C28)</f>
        <v>17.876558375169761</v>
      </c>
      <c r="F28" s="34" cm="1">
        <f t="array" ref="F28">GROWTH(P2Sales,P2Price,C28)</f>
        <v>17.698574344968812</v>
      </c>
      <c r="G28" s="34">
        <f t="shared" si="0"/>
        <v>1.8898464111035895</v>
      </c>
      <c r="H28" s="34">
        <f t="shared" si="1"/>
        <v>1.1234416248302388</v>
      </c>
      <c r="I28" s="34">
        <f t="shared" si="2"/>
        <v>1.3014256550311885</v>
      </c>
      <c r="J28" s="34">
        <f t="shared" si="3"/>
        <v>17.110153588896409</v>
      </c>
    </row>
    <row r="29" spans="2:10">
      <c r="B29" s="36">
        <v>26</v>
      </c>
      <c r="C29" s="110">
        <v>445</v>
      </c>
      <c r="D29" s="39">
        <v>17</v>
      </c>
      <c r="E29" s="34" cm="1">
        <f t="array" ref="E29">TREND(P2Sales,P2Price,C29)</f>
        <v>19.487578777104662</v>
      </c>
      <c r="F29" s="34" cm="1">
        <f t="array" ref="F29">GROWTH(P2Sales,P2Price,C29)</f>
        <v>19.215070212821093</v>
      </c>
      <c r="G29" s="34">
        <f t="shared" si="0"/>
        <v>1.8528387514943101</v>
      </c>
      <c r="H29" s="34">
        <f t="shared" si="1"/>
        <v>2.4875787771046625</v>
      </c>
      <c r="I29" s="34">
        <f t="shared" si="2"/>
        <v>2.2150702128210931</v>
      </c>
      <c r="J29" s="34">
        <f t="shared" si="3"/>
        <v>15.147161248505689</v>
      </c>
    </row>
    <row r="30" spans="2:10">
      <c r="B30" s="36">
        <v>27</v>
      </c>
      <c r="C30" s="110">
        <v>478</v>
      </c>
      <c r="D30" s="39">
        <v>22</v>
      </c>
      <c r="E30" s="34" cm="1">
        <f t="array" ref="E30">TREND(P2Sales,P2Price,C30)</f>
        <v>21.614125707658737</v>
      </c>
      <c r="F30" s="34" cm="1">
        <f t="array" ref="F30">GROWTH(P2Sales,P2Price,C30)</f>
        <v>21.417602211977371</v>
      </c>
      <c r="G30" s="34">
        <f t="shared" si="0"/>
        <v>1.9461535011201345</v>
      </c>
      <c r="H30" s="34">
        <f t="shared" si="1"/>
        <v>0.38587429234126347</v>
      </c>
      <c r="I30" s="34">
        <f t="shared" si="2"/>
        <v>0.58239778802262876</v>
      </c>
      <c r="J30" s="34">
        <f t="shared" si="3"/>
        <v>20.053846498879864</v>
      </c>
    </row>
    <row r="31" spans="2:10">
      <c r="B31" s="36">
        <v>28</v>
      </c>
      <c r="C31" s="110">
        <v>407</v>
      </c>
      <c r="D31" s="39">
        <v>15</v>
      </c>
      <c r="E31" s="34" cm="1">
        <f t="array" ref="E31">TREND(P2Sales,P2Price,C31)</f>
        <v>17.03882776616361</v>
      </c>
      <c r="F31" s="34" cm="1">
        <f t="array" ref="F31">GROWTH(P2Sales,P2Price,C31)</f>
        <v>16.957911523866393</v>
      </c>
      <c r="G31" s="34">
        <f t="shared" si="0"/>
        <v>1.8162554122064316</v>
      </c>
      <c r="H31" s="34">
        <f t="shared" si="1"/>
        <v>2.0388277661636103</v>
      </c>
      <c r="I31" s="34">
        <f t="shared" si="2"/>
        <v>1.9579115238663931</v>
      </c>
      <c r="J31" s="34">
        <f t="shared" si="3"/>
        <v>13.183744587793569</v>
      </c>
    </row>
    <row r="32" spans="2:10">
      <c r="B32" s="36">
        <v>29</v>
      </c>
      <c r="C32" s="110">
        <v>451</v>
      </c>
      <c r="D32" s="39">
        <v>20</v>
      </c>
      <c r="E32" s="34" cm="1">
        <f t="array" ref="E32">TREND(P2Sales,P2Price,C32)</f>
        <v>19.874223673569041</v>
      </c>
      <c r="F32" s="34" cm="1">
        <f t="array" ref="F32">GROWTH(P2Sales,P2Price,C32)</f>
        <v>19.597959761274279</v>
      </c>
      <c r="G32" s="34">
        <f t="shared" si="0"/>
        <v>1.9085093610287545</v>
      </c>
      <c r="H32" s="34">
        <f t="shared" si="1"/>
        <v>0.12577632643095882</v>
      </c>
      <c r="I32" s="34">
        <f t="shared" si="2"/>
        <v>0.40204023872572137</v>
      </c>
      <c r="J32" s="34">
        <f t="shared" si="3"/>
        <v>18.091490638971244</v>
      </c>
    </row>
    <row r="33" spans="2:10">
      <c r="B33" s="36">
        <v>30</v>
      </c>
      <c r="C33" s="110">
        <v>480</v>
      </c>
      <c r="D33" s="39">
        <v>24</v>
      </c>
      <c r="E33" s="34" cm="1">
        <f t="array" ref="E33">TREND(P2Sales,P2Price,C33)</f>
        <v>21.743007339813531</v>
      </c>
      <c r="F33" s="34" cm="1">
        <f t="array" ref="F33">GROWTH(P2Sales,P2Price,C33)</f>
        <v>21.558927074743636</v>
      </c>
      <c r="G33" s="34">
        <f t="shared" si="0"/>
        <v>1.9842219615329151</v>
      </c>
      <c r="H33" s="34">
        <f t="shared" si="1"/>
        <v>2.2569926601864694</v>
      </c>
      <c r="I33" s="34">
        <f t="shared" si="2"/>
        <v>2.4410729252563641</v>
      </c>
      <c r="J33" s="34">
        <f t="shared" si="3"/>
        <v>22.015778038467086</v>
      </c>
    </row>
    <row r="36" spans="2:10">
      <c r="B36" s="31" t="s">
        <v>20</v>
      </c>
      <c r="C36" s="31" t="s">
        <v>63</v>
      </c>
      <c r="D36" s="31" t="s">
        <v>16</v>
      </c>
      <c r="E36" s="38" t="s">
        <v>17</v>
      </c>
      <c r="F36" s="38" t="s">
        <v>18</v>
      </c>
      <c r="G36" s="38" t="s">
        <v>19</v>
      </c>
    </row>
    <row r="37" spans="2:10">
      <c r="B37" s="36">
        <v>31</v>
      </c>
      <c r="C37" s="110">
        <v>439</v>
      </c>
      <c r="D37" s="35">
        <f ca="1">OFFSET(D36,1,MATCH(H41,H40:J40,0))</f>
        <v>19.100933880640287</v>
      </c>
      <c r="E37" s="34" cm="1">
        <f t="array" ref="E37">TREND(P2Sales,P2Price,C37)</f>
        <v>19.100933880640287</v>
      </c>
      <c r="F37" s="34" cm="1">
        <f t="array" ref="F37">GROWTH(P2Sales,P2Price,C37)</f>
        <v>18.8396612597003</v>
      </c>
      <c r="G37" s="34">
        <f ca="1">$L$4*D37^2+$M$4*D37+$N$4</f>
        <v>1.8917253218799206</v>
      </c>
    </row>
    <row r="39" spans="2:10">
      <c r="G39" s="30"/>
      <c r="H39" s="31" t="s">
        <v>62</v>
      </c>
      <c r="I39" s="31" t="s">
        <v>61</v>
      </c>
      <c r="J39" s="31" t="s">
        <v>60</v>
      </c>
    </row>
    <row r="40" spans="2:10">
      <c r="G40" s="30" t="s">
        <v>10</v>
      </c>
      <c r="H40" s="34">
        <f>AVERAGE(H4:H33)</f>
        <v>2.1517611991922649</v>
      </c>
      <c r="I40" s="34">
        <f>AVERAGE(I4:I33)</f>
        <v>2.178376949724679</v>
      </c>
      <c r="J40" s="34">
        <f>AVERAGE(J4:J33)</f>
        <v>17.992787637532548</v>
      </c>
    </row>
    <row r="41" spans="2:10">
      <c r="G41" s="30" t="s">
        <v>11</v>
      </c>
      <c r="H41" s="29">
        <f>MIN(H40:J40)</f>
        <v>2.1517611991922649</v>
      </c>
      <c r="I41" s="44"/>
      <c r="J41" s="43"/>
    </row>
    <row r="42" spans="2:10">
      <c r="B42" s="1"/>
      <c r="C42" s="26"/>
      <c r="D42" s="1"/>
      <c r="G42" s="30" t="s">
        <v>12</v>
      </c>
      <c r="H42" s="42" t="str">
        <f ca="1">OFFSET(G39,0,MATCH(H41,H40:J40,0))</f>
        <v>Linear Error</v>
      </c>
      <c r="I42" s="41"/>
      <c r="J42" s="2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5079B-9106-480C-827E-DE648A6444E1}">
  <sheetPr codeName="Sheet14"/>
  <dimension ref="B3:N42"/>
  <sheetViews>
    <sheetView workbookViewId="0">
      <selection activeCell="V19" sqref="V19"/>
    </sheetView>
  </sheetViews>
  <sheetFormatPr defaultRowHeight="14.4"/>
  <cols>
    <col min="4" max="4" width="13.578125" customWidth="1"/>
    <col min="5" max="5" width="13" customWidth="1"/>
    <col min="6" max="6" width="19" customWidth="1"/>
    <col min="7" max="7" width="18" customWidth="1"/>
    <col min="8" max="8" width="13.68359375" customWidth="1"/>
    <col min="9" max="9" width="14.578125" customWidth="1"/>
    <col min="10" max="10" width="13.83984375" customWidth="1"/>
    <col min="12" max="15" width="9" customWidth="1"/>
  </cols>
  <sheetData>
    <row r="3" spans="2:14">
      <c r="B3" s="31" t="s">
        <v>0</v>
      </c>
      <c r="C3" s="31" t="s">
        <v>66</v>
      </c>
      <c r="D3" s="31" t="s">
        <v>65</v>
      </c>
      <c r="E3" s="40" t="s">
        <v>5</v>
      </c>
      <c r="F3" s="40" t="s">
        <v>6</v>
      </c>
      <c r="G3" s="40" t="s">
        <v>64</v>
      </c>
      <c r="H3" s="31" t="s">
        <v>7</v>
      </c>
      <c r="I3" s="31" t="s">
        <v>8</v>
      </c>
      <c r="J3" s="31" t="s">
        <v>9</v>
      </c>
      <c r="L3" s="31" t="s">
        <v>13</v>
      </c>
      <c r="M3" s="31" t="s">
        <v>14</v>
      </c>
      <c r="N3" s="31" t="s">
        <v>15</v>
      </c>
    </row>
    <row r="4" spans="2:14">
      <c r="B4" s="36">
        <v>1</v>
      </c>
      <c r="C4" s="110">
        <v>137</v>
      </c>
      <c r="D4" s="39">
        <v>18</v>
      </c>
      <c r="E4" s="34" cm="1">
        <f t="array" ref="E4">TREND(P3Sales,P3Price,C4)</f>
        <v>18.806971231548324</v>
      </c>
      <c r="F4" s="34" cm="1">
        <f t="array" ref="F4">GROWTH(P3Sales,P3Price,C4)</f>
        <v>18.560095954569096</v>
      </c>
      <c r="G4" s="47">
        <f t="shared" ref="G4:G33" si="0">$L$4*D4^2+$M$4*D4+$N$4</f>
        <v>-56.617238991528481</v>
      </c>
      <c r="H4" s="34">
        <f t="shared" ref="H4:H33" si="1">ABS(D4-E4)</f>
        <v>0.8069712315483244</v>
      </c>
      <c r="I4" s="34">
        <f t="shared" ref="I4:I33" si="2">ABS(D4-F4)</f>
        <v>0.56009595456909622</v>
      </c>
      <c r="J4" s="34">
        <f t="shared" ref="J4:J33" si="3">ABS(G4-D4)</f>
        <v>74.617238991528481</v>
      </c>
      <c r="L4" s="4" cm="1">
        <f t="array" ref="L4:N4">LINEST(P3Sales,P3Price^{1,2},TRUE,FALSE)</f>
        <v>-2.6717420597361522E-3</v>
      </c>
      <c r="M4" s="4">
        <v>1.0486481401208176</v>
      </c>
      <c r="N4" s="4">
        <v>-74.627261086348682</v>
      </c>
    </row>
    <row r="5" spans="2:14">
      <c r="B5" s="36">
        <v>2</v>
      </c>
      <c r="C5" s="110">
        <v>149</v>
      </c>
      <c r="D5" s="39">
        <v>23</v>
      </c>
      <c r="E5" s="34" cm="1">
        <f t="array" ref="E5">TREND(P3Sales,P3Price,C5)</f>
        <v>22.405936860252133</v>
      </c>
      <c r="F5" s="34" cm="1">
        <f t="array" ref="F5">GROWTH(P3Sales,P3Price,C5)</f>
        <v>22.290362122947609</v>
      </c>
      <c r="G5" s="47">
        <f t="shared" si="0"/>
        <v>-51.921705413170301</v>
      </c>
      <c r="H5" s="34">
        <f t="shared" si="1"/>
        <v>0.59406313974786684</v>
      </c>
      <c r="I5" s="34">
        <f t="shared" si="2"/>
        <v>0.70963787705239056</v>
      </c>
      <c r="J5" s="34">
        <f t="shared" si="3"/>
        <v>74.921705413170301</v>
      </c>
    </row>
    <row r="6" spans="2:14">
      <c r="B6" s="36">
        <v>3</v>
      </c>
      <c r="C6" s="110">
        <v>132</v>
      </c>
      <c r="D6" s="39">
        <v>15</v>
      </c>
      <c r="E6" s="34" cm="1">
        <f t="array" ref="E6">TREND(P3Sales,P3Price,C6)</f>
        <v>17.307402219588411</v>
      </c>
      <c r="F6" s="34" cm="1">
        <f t="array" ref="F6">GROWTH(P3Sales,P3Price,C6)</f>
        <v>17.196491102464215</v>
      </c>
      <c r="G6" s="47">
        <f t="shared" si="0"/>
        <v>-59.49868094797705</v>
      </c>
      <c r="H6" s="34">
        <f t="shared" si="1"/>
        <v>2.3074022195884112</v>
      </c>
      <c r="I6" s="34">
        <f t="shared" si="2"/>
        <v>2.1964911024642149</v>
      </c>
      <c r="J6" s="34">
        <f t="shared" si="3"/>
        <v>74.49868094797705</v>
      </c>
    </row>
    <row r="7" spans="2:14">
      <c r="B7" s="36">
        <v>4</v>
      </c>
      <c r="C7" s="110">
        <v>145</v>
      </c>
      <c r="D7" s="39">
        <v>25</v>
      </c>
      <c r="E7" s="34" cm="1">
        <f t="array" ref="E7">TREND(P3Sales,P3Price,C7)</f>
        <v>21.206281650684197</v>
      </c>
      <c r="F7" s="34" cm="1">
        <f t="array" ref="F7">GROWTH(P3Sales,P3Price,C7)</f>
        <v>20.97030860423952</v>
      </c>
      <c r="G7" s="47">
        <f t="shared" si="0"/>
        <v>-50.080896370663339</v>
      </c>
      <c r="H7" s="34">
        <f t="shared" si="1"/>
        <v>3.7937183493158031</v>
      </c>
      <c r="I7" s="34">
        <f t="shared" si="2"/>
        <v>4.0296913957604801</v>
      </c>
      <c r="J7" s="34">
        <f t="shared" si="3"/>
        <v>75.080896370663339</v>
      </c>
    </row>
    <row r="8" spans="2:14">
      <c r="B8" s="36">
        <v>5</v>
      </c>
      <c r="C8" s="110">
        <v>150</v>
      </c>
      <c r="D8" s="39">
        <v>20</v>
      </c>
      <c r="E8" s="34" cm="1">
        <f t="array" ref="E8">TREND(P3Sales,P3Price,C8)</f>
        <v>22.70585066264411</v>
      </c>
      <c r="F8" s="34" cm="1">
        <f t="array" ref="F8">GROWTH(P3Sales,P3Price,C8)</f>
        <v>22.633160310002921</v>
      </c>
      <c r="G8" s="47">
        <f t="shared" si="0"/>
        <v>-54.72299510782679</v>
      </c>
      <c r="H8" s="34">
        <f t="shared" si="1"/>
        <v>2.7058506626441101</v>
      </c>
      <c r="I8" s="34">
        <f t="shared" si="2"/>
        <v>2.6331603100029213</v>
      </c>
      <c r="J8" s="34">
        <f t="shared" si="3"/>
        <v>74.72299510782679</v>
      </c>
    </row>
    <row r="9" spans="2:14">
      <c r="B9" s="36">
        <v>6</v>
      </c>
      <c r="C9" s="110">
        <v>134</v>
      </c>
      <c r="D9" s="39">
        <v>17</v>
      </c>
      <c r="E9" s="34" cm="1">
        <f t="array" ref="E9">TREND(P3Sales,P3Price,C9)</f>
        <v>17.907229824372379</v>
      </c>
      <c r="F9" s="34" cm="1">
        <f t="array" ref="F9">GROWTH(P3Sales,P3Price,C9)</f>
        <v>17.729479689583552</v>
      </c>
      <c r="G9" s="47">
        <f t="shared" si="0"/>
        <v>-57.57237615955853</v>
      </c>
      <c r="H9" s="34">
        <f t="shared" si="1"/>
        <v>0.90722982437237931</v>
      </c>
      <c r="I9" s="34">
        <f t="shared" si="2"/>
        <v>0.72947968958355247</v>
      </c>
      <c r="J9" s="34">
        <f t="shared" si="3"/>
        <v>74.57237615955853</v>
      </c>
    </row>
    <row r="10" spans="2:14">
      <c r="B10" s="36">
        <v>7</v>
      </c>
      <c r="C10" s="110">
        <v>147</v>
      </c>
      <c r="D10" s="39">
        <v>22</v>
      </c>
      <c r="E10" s="34" cm="1">
        <f t="array" ref="E10">TREND(P3Sales,P3Price,C10)</f>
        <v>21.806109255468165</v>
      </c>
      <c r="F10" s="34" cm="1">
        <f t="array" ref="F10">GROWTH(P3Sales,P3Price,C10)</f>
        <v>21.620263009928046</v>
      </c>
      <c r="G10" s="47">
        <f t="shared" si="0"/>
        <v>-52.850125160602992</v>
      </c>
      <c r="H10" s="34">
        <f t="shared" si="1"/>
        <v>0.19389074453183497</v>
      </c>
      <c r="I10" s="34">
        <f t="shared" si="2"/>
        <v>0.37973699007195449</v>
      </c>
      <c r="J10" s="34">
        <f t="shared" si="3"/>
        <v>74.850125160603</v>
      </c>
    </row>
    <row r="11" spans="2:14">
      <c r="B11" s="36">
        <v>8</v>
      </c>
      <c r="C11" s="110">
        <v>131</v>
      </c>
      <c r="D11" s="39">
        <v>16</v>
      </c>
      <c r="E11" s="34" cm="1">
        <f t="array" ref="E11">TREND(P3Sales,P3Price,C11)</f>
        <v>17.007488417196427</v>
      </c>
      <c r="F11" s="34" cm="1">
        <f t="array" ref="F11">GROWTH(P3Sales,P3Price,C11)</f>
        <v>16.936035828304721</v>
      </c>
      <c r="G11" s="47">
        <f t="shared" si="0"/>
        <v>-58.532856811708058</v>
      </c>
      <c r="H11" s="34">
        <f t="shared" si="1"/>
        <v>1.0074884171964271</v>
      </c>
      <c r="I11" s="34">
        <f t="shared" si="2"/>
        <v>0.93603582830472121</v>
      </c>
      <c r="J11" s="34">
        <f t="shared" si="3"/>
        <v>74.532856811708058</v>
      </c>
    </row>
    <row r="12" spans="2:14">
      <c r="B12" s="36">
        <v>9</v>
      </c>
      <c r="C12" s="110">
        <v>142</v>
      </c>
      <c r="D12" s="39">
        <v>21</v>
      </c>
      <c r="E12" s="34" cm="1">
        <f t="array" ref="E12">TREND(P3Sales,P3Price,C12)</f>
        <v>20.306540243508245</v>
      </c>
      <c r="F12" s="34" cm="1">
        <f t="array" ref="F12">GROWTH(P3Sales,P3Price,C12)</f>
        <v>20.031828574228701</v>
      </c>
      <c r="G12" s="47">
        <f t="shared" si="0"/>
        <v>-53.783888392155156</v>
      </c>
      <c r="H12" s="34">
        <f t="shared" si="1"/>
        <v>0.69345975649175529</v>
      </c>
      <c r="I12" s="34">
        <f t="shared" si="2"/>
        <v>0.968171425771299</v>
      </c>
      <c r="J12" s="34">
        <f t="shared" si="3"/>
        <v>74.783888392155148</v>
      </c>
    </row>
    <row r="13" spans="2:14">
      <c r="B13" s="36">
        <v>10</v>
      </c>
      <c r="C13" s="110">
        <v>139</v>
      </c>
      <c r="D13" s="39">
        <v>24</v>
      </c>
      <c r="E13" s="34" cm="1">
        <f t="array" ref="E13">TREND(P3Sales,P3Price,C13)</f>
        <v>19.406798836332293</v>
      </c>
      <c r="F13" s="34" cm="1">
        <f t="array" ref="F13">GROWTH(P3Sales,P3Price,C13)</f>
        <v>19.135348153444003</v>
      </c>
      <c r="G13" s="47">
        <f t="shared" si="0"/>
        <v>-50.998629149857081</v>
      </c>
      <c r="H13" s="34">
        <f t="shared" si="1"/>
        <v>4.5932011636677075</v>
      </c>
      <c r="I13" s="34">
        <f t="shared" si="2"/>
        <v>4.8646518465559971</v>
      </c>
      <c r="J13" s="34">
        <f t="shared" si="3"/>
        <v>74.998629149857081</v>
      </c>
    </row>
    <row r="14" spans="2:14">
      <c r="B14" s="36">
        <v>11</v>
      </c>
      <c r="C14" s="110">
        <v>148</v>
      </c>
      <c r="D14" s="39">
        <v>18</v>
      </c>
      <c r="E14" s="34" cm="1">
        <f t="array" ref="E14">TREND(P3Sales,P3Price,C14)</f>
        <v>22.106023057860149</v>
      </c>
      <c r="F14" s="34" cm="1">
        <f t="array" ref="F14">GROWTH(P3Sales,P3Price,C14)</f>
        <v>21.952755901814822</v>
      </c>
      <c r="G14" s="47">
        <f t="shared" si="0"/>
        <v>-56.617238991528481</v>
      </c>
      <c r="H14" s="34">
        <f t="shared" si="1"/>
        <v>4.1060230578601491</v>
      </c>
      <c r="I14" s="34">
        <f t="shared" si="2"/>
        <v>3.9527559018148217</v>
      </c>
      <c r="J14" s="34">
        <f t="shared" si="3"/>
        <v>74.617238991528481</v>
      </c>
    </row>
    <row r="15" spans="2:14">
      <c r="B15" s="36">
        <v>12</v>
      </c>
      <c r="C15" s="110">
        <v>133</v>
      </c>
      <c r="D15" s="39">
        <v>22</v>
      </c>
      <c r="E15" s="34" cm="1">
        <f t="array" ref="E15">TREND(P3Sales,P3Price,C15)</f>
        <v>17.607316021980395</v>
      </c>
      <c r="F15" s="34" cm="1">
        <f t="array" ref="F15">GROWTH(P3Sales,P3Price,C15)</f>
        <v>17.460951856449391</v>
      </c>
      <c r="G15" s="47">
        <f t="shared" si="0"/>
        <v>-52.850125160602992</v>
      </c>
      <c r="H15" s="34">
        <f t="shared" si="1"/>
        <v>4.3926839780196048</v>
      </c>
      <c r="I15" s="34">
        <f t="shared" si="2"/>
        <v>4.5390481435506089</v>
      </c>
      <c r="J15" s="34">
        <f t="shared" si="3"/>
        <v>74.850125160603</v>
      </c>
    </row>
    <row r="16" spans="2:14">
      <c r="B16" s="36">
        <v>13</v>
      </c>
      <c r="C16" s="110">
        <v>144</v>
      </c>
      <c r="D16" s="39">
        <v>15</v>
      </c>
      <c r="E16" s="34" cm="1">
        <f t="array" ref="E16">TREND(P3Sales,P3Price,C16)</f>
        <v>20.906367848292213</v>
      </c>
      <c r="F16" s="34" cm="1">
        <f t="array" ref="F16">GROWTH(P3Sales,P3Price,C16)</f>
        <v>20.652695700294036</v>
      </c>
      <c r="G16" s="47">
        <f t="shared" si="0"/>
        <v>-59.49868094797705</v>
      </c>
      <c r="H16" s="34">
        <f t="shared" si="1"/>
        <v>5.9063678482922128</v>
      </c>
      <c r="I16" s="34">
        <f t="shared" si="2"/>
        <v>5.6526957002940357</v>
      </c>
      <c r="J16" s="34">
        <f t="shared" si="3"/>
        <v>74.49868094797705</v>
      </c>
    </row>
    <row r="17" spans="2:10">
      <c r="B17" s="36">
        <v>14</v>
      </c>
      <c r="C17" s="110">
        <v>146</v>
      </c>
      <c r="D17" s="39">
        <v>23</v>
      </c>
      <c r="E17" s="34" cm="1">
        <f t="array" ref="E17">TREND(P3Sales,P3Price,C17)</f>
        <v>21.506195453076181</v>
      </c>
      <c r="F17" s="34" cm="1">
        <f t="array" ref="F17">GROWTH(P3Sales,P3Price,C17)</f>
        <v>21.292806001629174</v>
      </c>
      <c r="G17" s="47">
        <f t="shared" si="0"/>
        <v>-51.921705413170301</v>
      </c>
      <c r="H17" s="34">
        <f t="shared" si="1"/>
        <v>1.493804546923819</v>
      </c>
      <c r="I17" s="34">
        <f t="shared" si="2"/>
        <v>1.7071939983708262</v>
      </c>
      <c r="J17" s="34">
        <f t="shared" si="3"/>
        <v>74.921705413170301</v>
      </c>
    </row>
    <row r="18" spans="2:10">
      <c r="B18" s="36">
        <v>15</v>
      </c>
      <c r="C18" s="110">
        <v>135</v>
      </c>
      <c r="D18" s="39">
        <v>19</v>
      </c>
      <c r="E18" s="34" cm="1">
        <f t="array" ref="E18">TREND(P3Sales,P3Price,C18)</f>
        <v>18.207143626764363</v>
      </c>
      <c r="F18" s="34" cm="1">
        <f t="array" ref="F18">GROWTH(P3Sales,P3Price,C18)</f>
        <v>18.002137148511348</v>
      </c>
      <c r="G18" s="47">
        <f t="shared" si="0"/>
        <v>-55.667445307617896</v>
      </c>
      <c r="H18" s="34">
        <f t="shared" si="1"/>
        <v>0.79285637323563662</v>
      </c>
      <c r="I18" s="34">
        <f t="shared" si="2"/>
        <v>0.99786285148865161</v>
      </c>
      <c r="J18" s="34">
        <f t="shared" si="3"/>
        <v>74.667445307617896</v>
      </c>
    </row>
    <row r="19" spans="2:10">
      <c r="B19" s="36">
        <v>16</v>
      </c>
      <c r="C19" s="110">
        <v>140</v>
      </c>
      <c r="D19" s="39">
        <v>17</v>
      </c>
      <c r="E19" s="34" cm="1">
        <f t="array" ref="E19">TREND(P3Sales,P3Price,C19)</f>
        <v>19.706712638724277</v>
      </c>
      <c r="F19" s="34" cm="1">
        <f t="array" ref="F19">GROWTH(P3Sales,P3Price,C19)</f>
        <v>19.429626129705309</v>
      </c>
      <c r="G19" s="47">
        <f t="shared" si="0"/>
        <v>-57.57237615955853</v>
      </c>
      <c r="H19" s="34">
        <f t="shared" si="1"/>
        <v>2.7067126387242766</v>
      </c>
      <c r="I19" s="34">
        <f t="shared" si="2"/>
        <v>2.4296261297053086</v>
      </c>
      <c r="J19" s="34">
        <f t="shared" si="3"/>
        <v>74.57237615955853</v>
      </c>
    </row>
    <row r="20" spans="2:10">
      <c r="B20" s="36">
        <v>17</v>
      </c>
      <c r="C20" s="110">
        <v>143</v>
      </c>
      <c r="D20" s="39">
        <v>24</v>
      </c>
      <c r="E20" s="34" cm="1">
        <f t="array" ref="E20">TREND(P3Sales,P3Price,C20)</f>
        <v>20.606454045900229</v>
      </c>
      <c r="F20" s="34" cm="1">
        <f t="array" ref="F20">GROWTH(P3Sales,P3Price,C20)</f>
        <v>20.339893310044673</v>
      </c>
      <c r="G20" s="47">
        <f t="shared" si="0"/>
        <v>-50.998629149857081</v>
      </c>
      <c r="H20" s="34">
        <f t="shared" si="1"/>
        <v>3.3935459540997712</v>
      </c>
      <c r="I20" s="34">
        <f t="shared" si="2"/>
        <v>3.6601066899553274</v>
      </c>
      <c r="J20" s="34">
        <f t="shared" si="3"/>
        <v>74.998629149857081</v>
      </c>
    </row>
    <row r="21" spans="2:10">
      <c r="B21" s="36">
        <v>18</v>
      </c>
      <c r="C21" s="110">
        <v>130</v>
      </c>
      <c r="D21" s="39">
        <v>15</v>
      </c>
      <c r="E21" s="34" cm="1">
        <f t="array" ref="E21">TREND(P3Sales,P3Price,C21)</f>
        <v>16.707574614804443</v>
      </c>
      <c r="F21" s="34" cm="1">
        <f t="array" ref="F21">GROWTH(P3Sales,P3Price,C21)</f>
        <v>16.679525367621036</v>
      </c>
      <c r="G21" s="47">
        <f t="shared" si="0"/>
        <v>-59.49868094797705</v>
      </c>
      <c r="H21" s="34">
        <f t="shared" si="1"/>
        <v>1.7075746148044431</v>
      </c>
      <c r="I21" s="34">
        <f t="shared" si="2"/>
        <v>1.6795253676210358</v>
      </c>
      <c r="J21" s="34">
        <f t="shared" si="3"/>
        <v>74.49868094797705</v>
      </c>
    </row>
    <row r="22" spans="2:10">
      <c r="B22" s="36">
        <v>19</v>
      </c>
      <c r="C22" s="110">
        <v>141</v>
      </c>
      <c r="D22" s="39">
        <v>20</v>
      </c>
      <c r="E22" s="34" cm="1">
        <f t="array" ref="E22">TREND(P3Sales,P3Price,C22)</f>
        <v>20.006626441116261</v>
      </c>
      <c r="F22" s="34" cm="1">
        <f t="array" ref="F22">GROWTH(P3Sales,P3Price,C22)</f>
        <v>19.728429737097969</v>
      </c>
      <c r="G22" s="47">
        <f t="shared" si="0"/>
        <v>-54.72299510782679</v>
      </c>
      <c r="H22" s="34">
        <f t="shared" si="1"/>
        <v>6.6264411162606507E-3</v>
      </c>
      <c r="I22" s="34">
        <f t="shared" si="2"/>
        <v>0.27157026290203135</v>
      </c>
      <c r="J22" s="34">
        <f t="shared" si="3"/>
        <v>74.72299510782679</v>
      </c>
    </row>
    <row r="23" spans="2:10">
      <c r="B23" s="36">
        <v>20</v>
      </c>
      <c r="C23" s="110">
        <v>149</v>
      </c>
      <c r="D23" s="39">
        <v>25</v>
      </c>
      <c r="E23" s="34" cm="1">
        <f t="array" ref="E23">TREND(P3Sales,P3Price,C23)</f>
        <v>22.405936860252133</v>
      </c>
      <c r="F23" s="34" cm="1">
        <f t="array" ref="F23">GROWTH(P3Sales,P3Price,C23)</f>
        <v>22.290362122947609</v>
      </c>
      <c r="G23" s="47">
        <f t="shared" si="0"/>
        <v>-50.080896370663339</v>
      </c>
      <c r="H23" s="34">
        <f t="shared" si="1"/>
        <v>2.5940631397478668</v>
      </c>
      <c r="I23" s="34">
        <f t="shared" si="2"/>
        <v>2.7096378770523906</v>
      </c>
      <c r="J23" s="34">
        <f t="shared" si="3"/>
        <v>75.080896370663339</v>
      </c>
    </row>
    <row r="24" spans="2:10">
      <c r="B24" s="36">
        <v>21</v>
      </c>
      <c r="C24" s="110">
        <v>136</v>
      </c>
      <c r="D24" s="39">
        <v>18</v>
      </c>
      <c r="E24" s="34" cm="1">
        <f t="array" ref="E24">TREND(P3Sales,P3Price,C24)</f>
        <v>18.50705742915634</v>
      </c>
      <c r="F24" s="34" cm="1">
        <f t="array" ref="F24">GROWTH(P3Sales,P3Price,C24)</f>
        <v>18.278987741767423</v>
      </c>
      <c r="G24" s="47">
        <f t="shared" si="0"/>
        <v>-56.617238991528481</v>
      </c>
      <c r="H24" s="34">
        <f t="shared" si="1"/>
        <v>0.50705742915634033</v>
      </c>
      <c r="I24" s="34">
        <f t="shared" si="2"/>
        <v>0.27898774176742336</v>
      </c>
      <c r="J24" s="34">
        <f t="shared" si="3"/>
        <v>74.617238991528481</v>
      </c>
    </row>
    <row r="25" spans="2:10">
      <c r="B25" s="36">
        <v>22</v>
      </c>
      <c r="C25" s="110">
        <v>132</v>
      </c>
      <c r="D25" s="39">
        <v>21</v>
      </c>
      <c r="E25" s="34" cm="1">
        <f t="array" ref="E25">TREND(P3Sales,P3Price,C25)</f>
        <v>17.307402219588411</v>
      </c>
      <c r="F25" s="34" cm="1">
        <f t="array" ref="F25">GROWTH(P3Sales,P3Price,C25)</f>
        <v>17.196491102464215</v>
      </c>
      <c r="G25" s="47">
        <f t="shared" si="0"/>
        <v>-53.783888392155156</v>
      </c>
      <c r="H25" s="34">
        <f t="shared" si="1"/>
        <v>3.6925977804115888</v>
      </c>
      <c r="I25" s="34">
        <f t="shared" si="2"/>
        <v>3.8035088975357851</v>
      </c>
      <c r="J25" s="34">
        <f t="shared" si="3"/>
        <v>74.783888392155148</v>
      </c>
    </row>
    <row r="26" spans="2:10">
      <c r="B26" s="36">
        <v>23</v>
      </c>
      <c r="C26" s="110">
        <v>145</v>
      </c>
      <c r="D26" s="39">
        <v>16</v>
      </c>
      <c r="E26" s="34" cm="1">
        <f t="array" ref="E26">TREND(P3Sales,P3Price,C26)</f>
        <v>21.206281650684197</v>
      </c>
      <c r="F26" s="34" cm="1">
        <f t="array" ref="F26">GROWTH(P3Sales,P3Price,C26)</f>
        <v>20.97030860423952</v>
      </c>
      <c r="G26" s="47">
        <f t="shared" si="0"/>
        <v>-58.532856811708058</v>
      </c>
      <c r="H26" s="34">
        <f t="shared" si="1"/>
        <v>5.2062816506841969</v>
      </c>
      <c r="I26" s="34">
        <f t="shared" si="2"/>
        <v>4.9703086042395199</v>
      </c>
      <c r="J26" s="34">
        <f t="shared" si="3"/>
        <v>74.532856811708058</v>
      </c>
    </row>
    <row r="27" spans="2:10">
      <c r="B27" s="36">
        <v>24</v>
      </c>
      <c r="C27" s="110">
        <v>150</v>
      </c>
      <c r="D27" s="39">
        <v>25</v>
      </c>
      <c r="E27" s="34" cm="1">
        <f t="array" ref="E27">TREND(P3Sales,P3Price,C27)</f>
        <v>22.70585066264411</v>
      </c>
      <c r="F27" s="34" cm="1">
        <f t="array" ref="F27">GROWTH(P3Sales,P3Price,C27)</f>
        <v>22.633160310002921</v>
      </c>
      <c r="G27" s="47">
        <f t="shared" si="0"/>
        <v>-50.080896370663339</v>
      </c>
      <c r="H27" s="34">
        <f t="shared" si="1"/>
        <v>2.2941493373558899</v>
      </c>
      <c r="I27" s="34">
        <f t="shared" si="2"/>
        <v>2.3668396899970787</v>
      </c>
      <c r="J27" s="34">
        <f t="shared" si="3"/>
        <v>75.080896370663339</v>
      </c>
    </row>
    <row r="28" spans="2:10">
      <c r="B28" s="36">
        <v>25</v>
      </c>
      <c r="C28" s="110">
        <v>134</v>
      </c>
      <c r="D28" s="39">
        <v>19</v>
      </c>
      <c r="E28" s="34" cm="1">
        <f t="array" ref="E28">TREND(P3Sales,P3Price,C28)</f>
        <v>17.907229824372379</v>
      </c>
      <c r="F28" s="34" cm="1">
        <f t="array" ref="F28">GROWTH(P3Sales,P3Price,C28)</f>
        <v>17.729479689583552</v>
      </c>
      <c r="G28" s="47">
        <f t="shared" si="0"/>
        <v>-55.667445307617896</v>
      </c>
      <c r="H28" s="34">
        <f t="shared" si="1"/>
        <v>1.0927701756276207</v>
      </c>
      <c r="I28" s="34">
        <f t="shared" si="2"/>
        <v>1.2705203104164475</v>
      </c>
      <c r="J28" s="34">
        <f t="shared" si="3"/>
        <v>74.667445307617896</v>
      </c>
    </row>
    <row r="29" spans="2:10">
      <c r="B29" s="36">
        <v>26</v>
      </c>
      <c r="C29" s="110">
        <v>138</v>
      </c>
      <c r="D29" s="39">
        <v>17</v>
      </c>
      <c r="E29" s="34" cm="1">
        <f t="array" ref="E29">TREND(P3Sales,P3Price,C29)</f>
        <v>19.106885033940308</v>
      </c>
      <c r="F29" s="34" cm="1">
        <f t="array" ref="F29">GROWTH(P3Sales,P3Price,C29)</f>
        <v>18.845527263836566</v>
      </c>
      <c r="G29" s="47">
        <f t="shared" si="0"/>
        <v>-57.57237615955853</v>
      </c>
      <c r="H29" s="34">
        <f t="shared" si="1"/>
        <v>2.1068850339403085</v>
      </c>
      <c r="I29" s="34">
        <f t="shared" si="2"/>
        <v>1.8455272638365656</v>
      </c>
      <c r="J29" s="34">
        <f t="shared" si="3"/>
        <v>74.57237615955853</v>
      </c>
    </row>
    <row r="30" spans="2:10">
      <c r="B30" s="36">
        <v>27</v>
      </c>
      <c r="C30" s="110">
        <v>147</v>
      </c>
      <c r="D30" s="39">
        <v>22</v>
      </c>
      <c r="E30" s="34" cm="1">
        <f t="array" ref="E30">TREND(P3Sales,P3Price,C30)</f>
        <v>21.806109255468165</v>
      </c>
      <c r="F30" s="34" cm="1">
        <f t="array" ref="F30">GROWTH(P3Sales,P3Price,C30)</f>
        <v>21.620263009928046</v>
      </c>
      <c r="G30" s="47">
        <f t="shared" si="0"/>
        <v>-52.850125160602992</v>
      </c>
      <c r="H30" s="34">
        <f t="shared" si="1"/>
        <v>0.19389074453183497</v>
      </c>
      <c r="I30" s="34">
        <f t="shared" si="2"/>
        <v>0.37973699007195449</v>
      </c>
      <c r="J30" s="34">
        <f t="shared" si="3"/>
        <v>74.850125160603</v>
      </c>
    </row>
    <row r="31" spans="2:10">
      <c r="B31" s="36">
        <v>28</v>
      </c>
      <c r="C31" s="110">
        <v>131</v>
      </c>
      <c r="D31" s="39">
        <v>15</v>
      </c>
      <c r="E31" s="34" cm="1">
        <f t="array" ref="E31">TREND(P3Sales,P3Price,C31)</f>
        <v>17.007488417196427</v>
      </c>
      <c r="F31" s="34" cm="1">
        <f t="array" ref="F31">GROWTH(P3Sales,P3Price,C31)</f>
        <v>16.936035828304721</v>
      </c>
      <c r="G31" s="47">
        <f t="shared" si="0"/>
        <v>-59.49868094797705</v>
      </c>
      <c r="H31" s="34">
        <f t="shared" si="1"/>
        <v>2.0074884171964271</v>
      </c>
      <c r="I31" s="34">
        <f t="shared" si="2"/>
        <v>1.9360358283047212</v>
      </c>
      <c r="J31" s="34">
        <f t="shared" si="3"/>
        <v>74.49868094797705</v>
      </c>
    </row>
    <row r="32" spans="2:10">
      <c r="B32" s="36">
        <v>29</v>
      </c>
      <c r="C32" s="110">
        <v>142</v>
      </c>
      <c r="D32" s="39">
        <v>20</v>
      </c>
      <c r="E32" s="34" cm="1">
        <f t="array" ref="E32">TREND(P3Sales,P3Price,C32)</f>
        <v>20.306540243508245</v>
      </c>
      <c r="F32" s="34" cm="1">
        <f t="array" ref="F32">GROWTH(P3Sales,P3Price,C32)</f>
        <v>20.031828574228701</v>
      </c>
      <c r="G32" s="47">
        <f t="shared" si="0"/>
        <v>-54.72299510782679</v>
      </c>
      <c r="H32" s="34">
        <f t="shared" si="1"/>
        <v>0.30654024350824471</v>
      </c>
      <c r="I32" s="34">
        <f t="shared" si="2"/>
        <v>3.1828574228701001E-2</v>
      </c>
      <c r="J32" s="34">
        <f t="shared" si="3"/>
        <v>74.72299510782679</v>
      </c>
    </row>
    <row r="33" spans="2:10">
      <c r="B33" s="36">
        <v>30</v>
      </c>
      <c r="C33" s="110">
        <v>146</v>
      </c>
      <c r="D33" s="39">
        <v>24</v>
      </c>
      <c r="E33" s="34" cm="1">
        <f t="array" ref="E33">TREND(P3Sales,P3Price,C33)</f>
        <v>21.506195453076181</v>
      </c>
      <c r="F33" s="34" cm="1">
        <f t="array" ref="F33">GROWTH(P3Sales,P3Price,C33)</f>
        <v>21.292806001629174</v>
      </c>
      <c r="G33" s="47">
        <f t="shared" si="0"/>
        <v>-50.998629149857081</v>
      </c>
      <c r="H33" s="34">
        <f t="shared" si="1"/>
        <v>2.493804546923819</v>
      </c>
      <c r="I33" s="34">
        <f t="shared" si="2"/>
        <v>2.7071939983708262</v>
      </c>
      <c r="J33" s="34">
        <f t="shared" si="3"/>
        <v>74.998629149857081</v>
      </c>
    </row>
    <row r="36" spans="2:10">
      <c r="B36" s="31" t="s">
        <v>20</v>
      </c>
      <c r="C36" s="31" t="s">
        <v>63</v>
      </c>
      <c r="D36" s="31" t="s">
        <v>16</v>
      </c>
      <c r="E36" s="38" t="s">
        <v>17</v>
      </c>
      <c r="F36" s="38" t="s">
        <v>18</v>
      </c>
      <c r="G36" s="38" t="s">
        <v>19</v>
      </c>
    </row>
    <row r="37" spans="2:10">
      <c r="B37" s="36">
        <v>31</v>
      </c>
      <c r="C37" s="45">
        <v>139</v>
      </c>
      <c r="D37" s="35">
        <f ca="1">OFFSET(D36,1,MATCH(H41,H40:J40,0))</f>
        <v>19.406798836332293</v>
      </c>
      <c r="E37" s="34" cm="1">
        <f t="array" ref="E37">TREND(P3Sales,P3Price,C37)</f>
        <v>19.406798836332293</v>
      </c>
      <c r="F37" s="34" cm="1">
        <f t="array" ref="F37">GROWTH(P3Sales,P3Price,C37)</f>
        <v>19.135348153444003</v>
      </c>
      <c r="G37" s="47">
        <f ca="1">$L$4*D37^2+$M$4*D37+$N$4</f>
        <v>-55.282599337826412</v>
      </c>
    </row>
    <row r="39" spans="2:10">
      <c r="G39" s="30"/>
      <c r="H39" s="31" t="s">
        <v>62</v>
      </c>
      <c r="I39" s="31" t="s">
        <v>61</v>
      </c>
      <c r="J39" s="31" t="s">
        <v>60</v>
      </c>
    </row>
    <row r="40" spans="2:10">
      <c r="G40" s="30" t="s">
        <v>10</v>
      </c>
      <c r="H40" s="34">
        <f>AVERAGE(H4:H33)</f>
        <v>2.1534999820421641</v>
      </c>
      <c r="I40" s="34">
        <f>AVERAGE(I4:I33)</f>
        <v>2.1732554413886898</v>
      </c>
      <c r="J40" s="34">
        <f>AVERAGE(J4:J33)</f>
        <v>74.744443282044102</v>
      </c>
    </row>
    <row r="41" spans="2:10">
      <c r="G41" s="30" t="s">
        <v>11</v>
      </c>
      <c r="H41" s="29">
        <f>MIN(H40:J40)</f>
        <v>2.1534999820421641</v>
      </c>
      <c r="I41" s="44"/>
      <c r="J41" s="43"/>
    </row>
    <row r="42" spans="2:10">
      <c r="B42" s="1"/>
      <c r="C42" s="26"/>
      <c r="D42" s="1"/>
      <c r="G42" s="30" t="s">
        <v>12</v>
      </c>
      <c r="H42" s="42" t="str">
        <f ca="1">OFFSET(G39,0,MATCH(H41,H40:J40,0))</f>
        <v>Linear Error</v>
      </c>
      <c r="I42" s="41"/>
      <c r="J42" s="46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1D756-2E6A-43A7-A8BA-F62B02E3ED0B}">
  <sheetPr codeName="Sheet16"/>
  <dimension ref="A1:K101"/>
  <sheetViews>
    <sheetView showGridLines="0" showRowColHeaders="0" tabSelected="1" zoomScale="85" zoomScaleNormal="85" workbookViewId="0">
      <selection activeCell="V17" sqref="V17"/>
    </sheetView>
  </sheetViews>
  <sheetFormatPr defaultColWidth="9" defaultRowHeight="14.4"/>
  <cols>
    <col min="1" max="16384" width="9" style="54"/>
  </cols>
  <sheetData>
    <row r="1" spans="1:11" s="50" customFormat="1" ht="91.5">
      <c r="A1" s="60" t="s">
        <v>74</v>
      </c>
      <c r="B1" s="61"/>
      <c r="C1" s="61"/>
      <c r="D1" s="61"/>
      <c r="E1" s="58"/>
      <c r="F1" s="49"/>
    </row>
    <row r="2" spans="1:11" s="50" customFormat="1" ht="58.15" customHeight="1">
      <c r="A2" s="62" t="s">
        <v>76</v>
      </c>
      <c r="B2" s="61"/>
      <c r="C2" s="61"/>
      <c r="D2" s="61"/>
      <c r="E2" s="58"/>
      <c r="F2" s="49"/>
    </row>
    <row r="3" spans="1:11">
      <c r="K3" s="55"/>
    </row>
    <row r="4" spans="1:11">
      <c r="K4" s="56"/>
    </row>
    <row r="5" spans="1:11">
      <c r="K5" s="53"/>
    </row>
    <row r="6" spans="1:11" ht="31.8">
      <c r="C6" s="63" t="s">
        <v>75</v>
      </c>
      <c r="D6" s="64"/>
      <c r="E6" s="64"/>
      <c r="F6" s="64"/>
      <c r="G6" s="64"/>
      <c r="H6" s="64"/>
      <c r="I6" s="64"/>
    </row>
    <row r="7" spans="1:11">
      <c r="K7" s="53"/>
    </row>
    <row r="8" spans="1:11">
      <c r="K8" s="53"/>
    </row>
    <row r="11" spans="1:11">
      <c r="K11" s="57"/>
    </row>
    <row r="14" spans="1:11">
      <c r="K14" s="56"/>
    </row>
    <row r="16" spans="1:11">
      <c r="A16" s="53"/>
      <c r="K16" s="53"/>
    </row>
    <row r="17" spans="3:11">
      <c r="K17" s="53"/>
    </row>
    <row r="18" spans="3:11">
      <c r="K18" s="53"/>
    </row>
    <row r="19" spans="3:11">
      <c r="K19" s="53"/>
    </row>
    <row r="20" spans="3:11">
      <c r="C20" s="53"/>
      <c r="E20" s="53"/>
      <c r="H20" s="53"/>
      <c r="K20" s="53"/>
    </row>
    <row r="21" spans="3:11">
      <c r="K21" s="53"/>
    </row>
    <row r="22" spans="3:11">
      <c r="K22" s="55"/>
    </row>
    <row r="23" spans="3:11">
      <c r="K23" s="56"/>
    </row>
    <row r="24" spans="3:11">
      <c r="K24" s="53"/>
    </row>
    <row r="28" spans="3:11">
      <c r="K28" s="53"/>
    </row>
    <row r="29" spans="3:11">
      <c r="K29" s="53"/>
    </row>
    <row r="30" spans="3:11">
      <c r="K30" s="53"/>
    </row>
    <row r="34" spans="11:11">
      <c r="K34" s="53"/>
    </row>
    <row r="36" spans="11:11">
      <c r="K36" s="57"/>
    </row>
    <row r="38" spans="11:11">
      <c r="K38" s="57"/>
    </row>
    <row r="40" spans="11:11">
      <c r="K40" s="53"/>
    </row>
    <row r="53" spans="11:11">
      <c r="K53" s="55"/>
    </row>
    <row r="54" spans="11:11">
      <c r="K54" s="56"/>
    </row>
    <row r="55" spans="11:11">
      <c r="K55" s="53"/>
    </row>
    <row r="56" spans="11:11">
      <c r="K56" s="53"/>
    </row>
    <row r="57" spans="11:11">
      <c r="K57" s="56"/>
    </row>
    <row r="58" spans="11:11">
      <c r="K58" s="53"/>
    </row>
    <row r="59" spans="11:11">
      <c r="K59" s="53"/>
    </row>
    <row r="60" spans="11:11">
      <c r="K60" s="53"/>
    </row>
    <row r="71" spans="11:11">
      <c r="K71" s="56"/>
    </row>
    <row r="72" spans="11:11">
      <c r="K72" s="53"/>
    </row>
    <row r="77" spans="11:11">
      <c r="K77" s="55"/>
    </row>
    <row r="78" spans="11:11">
      <c r="K78" s="53"/>
    </row>
    <row r="79" spans="11:11">
      <c r="K79" s="53"/>
    </row>
    <row r="101" spans="3:3" ht="15">
      <c r="C101" s="59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C4422-7851-426B-BDB9-1E3311497853}">
  <sheetPr codeName="Sheet15"/>
  <dimension ref="A1:H21"/>
  <sheetViews>
    <sheetView workbookViewId="0">
      <selection activeCell="D1" sqref="D1"/>
    </sheetView>
  </sheetViews>
  <sheetFormatPr defaultColWidth="8.83984375" defaultRowHeight="14.4"/>
  <cols>
    <col min="1" max="1" width="14.26171875" style="48" bestFit="1" customWidth="1"/>
    <col min="2" max="2" width="13" style="48" bestFit="1" customWidth="1"/>
    <col min="3" max="3" width="12" style="48" customWidth="1"/>
    <col min="4" max="4" width="12.26171875" style="48" customWidth="1"/>
    <col min="5" max="5" width="8.83984375" style="48"/>
    <col min="6" max="6" width="11.578125" style="48" customWidth="1"/>
    <col min="7" max="7" width="11.15625" style="48" customWidth="1"/>
    <col min="8" max="16384" width="8.83984375" style="48"/>
  </cols>
  <sheetData>
    <row r="1" spans="1:8" s="54" customFormat="1" ht="53.65" customHeight="1">
      <c r="A1" s="65"/>
      <c r="B1" s="66"/>
      <c r="C1" s="66"/>
      <c r="D1" s="66"/>
      <c r="E1" s="67"/>
      <c r="F1" s="53"/>
    </row>
    <row r="2" spans="1:8" s="50" customFormat="1">
      <c r="A2" s="51" t="s">
        <v>67</v>
      </c>
      <c r="B2" s="52"/>
      <c r="C2" s="52"/>
      <c r="D2" s="52"/>
      <c r="E2" s="52"/>
      <c r="F2" s="52"/>
      <c r="G2" s="52"/>
      <c r="H2" s="52"/>
    </row>
    <row r="3" spans="1:8" s="50" customFormat="1">
      <c r="A3" s="51" t="s">
        <v>68</v>
      </c>
      <c r="B3" s="51" t="s">
        <v>69</v>
      </c>
      <c r="C3" s="49"/>
      <c r="D3" s="49"/>
      <c r="F3" s="49"/>
      <c r="G3" s="49"/>
      <c r="H3" s="49"/>
    </row>
    <row r="4" spans="1:8">
      <c r="A4" s="48" t="s">
        <v>70</v>
      </c>
      <c r="B4" s="48">
        <v>1234</v>
      </c>
      <c r="D4" s="48" t="s">
        <v>190</v>
      </c>
      <c r="F4" s="48">
        <v>18</v>
      </c>
      <c r="G4" s="48" t="s">
        <v>93</v>
      </c>
      <c r="H4" s="48">
        <v>2</v>
      </c>
    </row>
    <row r="5" spans="1:8">
      <c r="A5" s="48" t="s">
        <v>71</v>
      </c>
      <c r="B5" s="48">
        <v>1010</v>
      </c>
      <c r="D5" s="48" t="s">
        <v>196</v>
      </c>
      <c r="G5" s="48" t="s">
        <v>110</v>
      </c>
      <c r="H5" s="48">
        <v>2</v>
      </c>
    </row>
    <row r="6" spans="1:8">
      <c r="A6" s="48" t="s">
        <v>72</v>
      </c>
      <c r="B6" s="48">
        <v>4321</v>
      </c>
      <c r="D6" s="48" t="s">
        <v>197</v>
      </c>
      <c r="G6" s="48" t="s">
        <v>93</v>
      </c>
      <c r="H6" s="48">
        <v>3</v>
      </c>
    </row>
    <row r="7" spans="1:8">
      <c r="A7" s="48" t="s">
        <v>73</v>
      </c>
      <c r="B7" s="48">
        <v>1001</v>
      </c>
      <c r="D7" s="48" t="s">
        <v>198</v>
      </c>
      <c r="G7" s="48" t="s">
        <v>110</v>
      </c>
      <c r="H7" s="48">
        <v>2</v>
      </c>
    </row>
    <row r="8" spans="1:8">
      <c r="D8" s="48" t="s">
        <v>188</v>
      </c>
      <c r="G8" s="48" t="s">
        <v>110</v>
      </c>
      <c r="H8" s="48">
        <v>1</v>
      </c>
    </row>
    <row r="9" spans="1:8">
      <c r="D9" s="48" t="s">
        <v>189</v>
      </c>
      <c r="G9" s="48" t="s">
        <v>102</v>
      </c>
      <c r="H9" s="48">
        <v>1</v>
      </c>
    </row>
    <row r="10" spans="1:8">
      <c r="G10" s="48" t="s">
        <v>110</v>
      </c>
      <c r="H10" s="48">
        <v>1</v>
      </c>
    </row>
    <row r="11" spans="1:8">
      <c r="G11" s="48" t="s">
        <v>102</v>
      </c>
      <c r="H11" s="48">
        <v>2</v>
      </c>
    </row>
    <row r="12" spans="1:8">
      <c r="G12" s="48" t="s">
        <v>102</v>
      </c>
      <c r="H12" s="48">
        <v>2</v>
      </c>
    </row>
    <row r="13" spans="1:8">
      <c r="G13" s="48" t="s">
        <v>110</v>
      </c>
      <c r="H13" s="48">
        <v>2</v>
      </c>
    </row>
    <row r="14" spans="1:8">
      <c r="G14" s="48" t="s">
        <v>110</v>
      </c>
      <c r="H14" s="48">
        <v>3</v>
      </c>
    </row>
    <row r="15" spans="1:8">
      <c r="G15" s="48" t="s">
        <v>110</v>
      </c>
      <c r="H15" s="48">
        <v>1</v>
      </c>
    </row>
    <row r="16" spans="1:8">
      <c r="G16" s="48" t="s">
        <v>110</v>
      </c>
      <c r="H16" s="48">
        <v>3</v>
      </c>
    </row>
    <row r="17" spans="7:8">
      <c r="G17" s="48" t="s">
        <v>110</v>
      </c>
      <c r="H17" s="48">
        <v>2</v>
      </c>
    </row>
    <row r="18" spans="7:8">
      <c r="G18" s="48" t="s">
        <v>110</v>
      </c>
      <c r="H18" s="48">
        <v>1</v>
      </c>
    </row>
    <row r="19" spans="7:8">
      <c r="G19" s="48" t="s">
        <v>110</v>
      </c>
      <c r="H19" s="48">
        <v>2</v>
      </c>
    </row>
    <row r="20" spans="7:8">
      <c r="G20" s="48" t="s">
        <v>93</v>
      </c>
      <c r="H20" s="48">
        <v>2</v>
      </c>
    </row>
    <row r="21" spans="7:8">
      <c r="G21" s="48" t="s">
        <v>110</v>
      </c>
      <c r="H21" s="48">
        <v>3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A5BA4-A193-4295-A4CD-0D63D387086A}">
  <sheetPr codeName="Sheet9"/>
  <dimension ref="A1:N14"/>
  <sheetViews>
    <sheetView showGridLines="0" workbookViewId="0">
      <selection activeCell="K15" sqref="K15"/>
    </sheetView>
  </sheetViews>
  <sheetFormatPr defaultRowHeight="14.4"/>
  <cols>
    <col min="2" max="2" width="19.26171875" bestFit="1" customWidth="1"/>
    <col min="7" max="7" width="11.68359375" bestFit="1" customWidth="1"/>
    <col min="10" max="10" width="19.68359375" bestFit="1" customWidth="1"/>
    <col min="11" max="11" width="11.15625" bestFit="1" customWidth="1"/>
  </cols>
  <sheetData>
    <row r="1" spans="1:14" s="54" customFormat="1" ht="53.65" customHeight="1">
      <c r="A1" s="65"/>
      <c r="B1" s="66"/>
      <c r="C1" s="66"/>
      <c r="D1" s="66"/>
      <c r="E1" s="67"/>
      <c r="F1" s="53"/>
    </row>
    <row r="2" spans="1:14" s="50" customFormat="1" ht="18.3">
      <c r="A2" s="85" t="s">
        <v>203</v>
      </c>
      <c r="B2" s="52"/>
      <c r="C2" s="52"/>
      <c r="J2" s="84"/>
    </row>
    <row r="4" spans="1:14">
      <c r="B4" s="13" t="s">
        <v>59</v>
      </c>
      <c r="C4" s="13" t="s">
        <v>58</v>
      </c>
      <c r="D4" s="13" t="s">
        <v>57</v>
      </c>
      <c r="E4" s="13" t="s">
        <v>56</v>
      </c>
      <c r="F4" s="13" t="s">
        <v>55</v>
      </c>
      <c r="G4" s="13" t="s">
        <v>22</v>
      </c>
      <c r="H4" s="13" t="s">
        <v>27</v>
      </c>
      <c r="I4" s="2"/>
      <c r="J4" s="13" t="s">
        <v>24</v>
      </c>
      <c r="K4" s="13" t="s">
        <v>58</v>
      </c>
      <c r="L4" s="13" t="s">
        <v>57</v>
      </c>
      <c r="M4" s="13" t="s">
        <v>56</v>
      </c>
      <c r="N4" s="13" t="s">
        <v>55</v>
      </c>
    </row>
    <row r="5" spans="1:14">
      <c r="B5" s="21" t="s">
        <v>54</v>
      </c>
      <c r="C5" s="17">
        <v>0</v>
      </c>
      <c r="D5" s="17">
        <v>0</v>
      </c>
      <c r="E5" s="17">
        <v>200</v>
      </c>
      <c r="F5" s="17">
        <v>0</v>
      </c>
      <c r="G5" s="17">
        <f t="shared" ref="G5:G10" si="0">C5+D5+E5+F5</f>
        <v>200</v>
      </c>
      <c r="H5" s="17">
        <v>200</v>
      </c>
      <c r="I5" s="2"/>
      <c r="J5" s="21" t="s">
        <v>54</v>
      </c>
      <c r="K5" s="20">
        <f>57.2203632726311</f>
        <v>57.220363272631097</v>
      </c>
      <c r="L5" s="20">
        <v>35.576562157253875</v>
      </c>
      <c r="M5" s="20">
        <v>26.908575237233574</v>
      </c>
      <c r="N5" s="20">
        <v>53.109830812283143</v>
      </c>
    </row>
    <row r="6" spans="1:14">
      <c r="B6" s="21" t="s">
        <v>53</v>
      </c>
      <c r="C6" s="17">
        <v>450</v>
      </c>
      <c r="D6" s="17">
        <v>250</v>
      </c>
      <c r="E6" s="17">
        <v>0</v>
      </c>
      <c r="F6" s="17">
        <v>0</v>
      </c>
      <c r="G6" s="17">
        <f t="shared" si="0"/>
        <v>700</v>
      </c>
      <c r="H6" s="17">
        <v>700</v>
      </c>
      <c r="I6" s="2"/>
      <c r="J6" s="21" t="s">
        <v>53</v>
      </c>
      <c r="K6" s="20">
        <v>11.081824421133575</v>
      </c>
      <c r="L6" s="20">
        <v>12.649346641413731</v>
      </c>
      <c r="M6" s="20">
        <v>37.29566384419951</v>
      </c>
      <c r="N6" s="20">
        <v>15.211691787134303</v>
      </c>
    </row>
    <row r="7" spans="1:14">
      <c r="B7" s="21" t="s">
        <v>52</v>
      </c>
      <c r="C7" s="17">
        <v>0</v>
      </c>
      <c r="D7" s="17">
        <v>500</v>
      </c>
      <c r="E7" s="17">
        <v>100</v>
      </c>
      <c r="F7" s="17">
        <v>0</v>
      </c>
      <c r="G7" s="17">
        <f t="shared" si="0"/>
        <v>600</v>
      </c>
      <c r="H7" s="17">
        <v>600</v>
      </c>
      <c r="I7" s="2"/>
      <c r="J7" s="21" t="s">
        <v>52</v>
      </c>
      <c r="K7" s="20">
        <v>57.119047999966838</v>
      </c>
      <c r="L7" s="20">
        <v>11.602979482250056</v>
      </c>
      <c r="M7" s="20">
        <v>21.675423864469685</v>
      </c>
      <c r="N7" s="20">
        <v>11.268195302683866</v>
      </c>
    </row>
    <row r="8" spans="1:14">
      <c r="B8" s="21" t="s">
        <v>51</v>
      </c>
      <c r="C8" s="17">
        <v>550</v>
      </c>
      <c r="D8" s="17">
        <v>0</v>
      </c>
      <c r="E8" s="17">
        <v>0</v>
      </c>
      <c r="F8" s="17">
        <v>0</v>
      </c>
      <c r="G8" s="17">
        <f t="shared" si="0"/>
        <v>550</v>
      </c>
      <c r="H8" s="17">
        <v>550</v>
      </c>
      <c r="I8" s="2"/>
      <c r="J8" s="21" t="s">
        <v>51</v>
      </c>
      <c r="K8" s="20">
        <v>22.499549118932141</v>
      </c>
      <c r="L8" s="20">
        <v>37.301947985360812</v>
      </c>
      <c r="M8" s="20">
        <v>58.384363757650853</v>
      </c>
      <c r="N8" s="20">
        <v>12.541763846159757</v>
      </c>
    </row>
    <row r="9" spans="1:14">
      <c r="B9" s="21" t="s">
        <v>50</v>
      </c>
      <c r="C9" s="17">
        <v>0</v>
      </c>
      <c r="D9" s="17">
        <v>0</v>
      </c>
      <c r="E9" s="17">
        <v>200</v>
      </c>
      <c r="F9" s="17">
        <v>0</v>
      </c>
      <c r="G9" s="17">
        <f t="shared" si="0"/>
        <v>200</v>
      </c>
      <c r="H9" s="17">
        <v>200</v>
      </c>
      <c r="I9" s="2"/>
      <c r="J9" s="21" t="s">
        <v>50</v>
      </c>
      <c r="K9" s="20">
        <v>43.243786578350466</v>
      </c>
      <c r="L9" s="20">
        <v>53.892232871912931</v>
      </c>
      <c r="M9" s="20">
        <v>19.364775157397261</v>
      </c>
      <c r="N9" s="20">
        <v>23.279163941701011</v>
      </c>
    </row>
    <row r="10" spans="1:14">
      <c r="B10" s="21" t="s">
        <v>39</v>
      </c>
      <c r="C10" s="17">
        <v>0</v>
      </c>
      <c r="D10" s="17">
        <v>150</v>
      </c>
      <c r="E10" s="17">
        <v>0</v>
      </c>
      <c r="F10" s="17">
        <v>500</v>
      </c>
      <c r="G10" s="17">
        <f t="shared" si="0"/>
        <v>650</v>
      </c>
      <c r="H10" s="17">
        <v>650</v>
      </c>
      <c r="I10" s="2"/>
      <c r="J10" s="21" t="s">
        <v>39</v>
      </c>
      <c r="K10" s="20">
        <v>37.658750586718618</v>
      </c>
      <c r="L10" s="20">
        <v>29.420254458813289</v>
      </c>
      <c r="M10" s="20">
        <v>51.879940265160201</v>
      </c>
      <c r="N10" s="20">
        <v>13.860516882842601</v>
      </c>
    </row>
    <row r="11" spans="1:14">
      <c r="B11" s="2"/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/>
      <c r="J11" s="2"/>
      <c r="K11" s="19"/>
      <c r="L11" s="19"/>
      <c r="M11" s="19"/>
      <c r="N11" s="19"/>
    </row>
    <row r="12" spans="1:14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</row>
    <row r="13" spans="1:14">
      <c r="B13" s="13" t="s">
        <v>49</v>
      </c>
      <c r="C13" s="17">
        <f>SUM(C5:C10)</f>
        <v>1000</v>
      </c>
      <c r="D13" s="17">
        <f>SUM(D5:D10)</f>
        <v>900</v>
      </c>
      <c r="E13" s="17">
        <f>SUM(E5:E10)</f>
        <v>500</v>
      </c>
      <c r="F13" s="17">
        <f>SUM(F5:F10)</f>
        <v>500</v>
      </c>
      <c r="G13" s="2"/>
      <c r="H13" s="2"/>
      <c r="I13" s="2"/>
      <c r="J13" s="13" t="s">
        <v>48</v>
      </c>
      <c r="K13" s="17">
        <f>SUMPRODUCT(C5:C10, K5:K10)</f>
        <v>17361.573004922786</v>
      </c>
      <c r="L13" s="18">
        <f>SUMPRODUCT(D5:D10, L5:L10)</f>
        <v>13376.864570300455</v>
      </c>
      <c r="M13" s="17">
        <f>SUMPRODUCT(E5:E10, M5:M10)</f>
        <v>11422.212465373135</v>
      </c>
      <c r="N13" s="17">
        <f>SUMPRODUCT(F5:F10, N5:N10)</f>
        <v>6930.2584414213006</v>
      </c>
    </row>
    <row r="14" spans="1:14">
      <c r="B14" s="13" t="s">
        <v>23</v>
      </c>
      <c r="C14" s="17">
        <v>1000</v>
      </c>
      <c r="D14" s="17">
        <v>900</v>
      </c>
      <c r="E14" s="17">
        <v>900</v>
      </c>
      <c r="F14" s="17">
        <v>500</v>
      </c>
      <c r="G14" s="2"/>
      <c r="H14" s="2"/>
      <c r="I14" s="2"/>
      <c r="J14" s="13" t="s">
        <v>47</v>
      </c>
      <c r="K14" s="111">
        <f>SUM(K13:N13)</f>
        <v>49090.908482017672</v>
      </c>
      <c r="L14" s="2"/>
      <c r="M14" s="2"/>
      <c r="N14" s="2"/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4F4FC-EEBD-4A40-A241-8B760FB0B9F4}">
  <sheetPr codeName="Sheet7"/>
  <dimension ref="A1:J20"/>
  <sheetViews>
    <sheetView showGridLines="0" zoomScale="85" zoomScaleNormal="85" workbookViewId="0">
      <selection activeCell="G18" sqref="G18"/>
    </sheetView>
  </sheetViews>
  <sheetFormatPr defaultRowHeight="14.4"/>
  <cols>
    <col min="1" max="1" width="16" customWidth="1"/>
    <col min="2" max="2" width="11.26171875" customWidth="1"/>
    <col min="3" max="3" width="17.68359375" customWidth="1"/>
    <col min="4" max="4" width="18" customWidth="1"/>
    <col min="8" max="8" width="8.83984375" customWidth="1"/>
  </cols>
  <sheetData>
    <row r="1" spans="1:10" s="54" customFormat="1" ht="53.65" customHeight="1">
      <c r="A1" s="65"/>
      <c r="B1" s="66"/>
      <c r="C1" s="66"/>
      <c r="D1" s="66"/>
      <c r="E1" s="67"/>
      <c r="F1" s="53"/>
    </row>
    <row r="2" spans="1:10" s="50" customFormat="1" ht="18.3">
      <c r="A2" s="85" t="s">
        <v>191</v>
      </c>
      <c r="B2" s="52"/>
      <c r="C2" s="52"/>
      <c r="J2" s="84"/>
    </row>
    <row r="5" spans="1:10">
      <c r="A5" s="11" t="s">
        <v>44</v>
      </c>
      <c r="B5" s="12"/>
      <c r="C5" s="12"/>
      <c r="D5" s="12"/>
      <c r="E5" s="12"/>
      <c r="F5" s="12"/>
    </row>
    <row r="6" spans="1:10">
      <c r="A6" s="13" t="s">
        <v>25</v>
      </c>
      <c r="B6" s="9" t="s">
        <v>42</v>
      </c>
      <c r="C6" s="9" t="s">
        <v>40</v>
      </c>
      <c r="D6" s="9" t="s">
        <v>41</v>
      </c>
      <c r="E6" s="14" t="s">
        <v>26</v>
      </c>
      <c r="F6" s="14" t="s">
        <v>27</v>
      </c>
    </row>
    <row r="7" spans="1:10">
      <c r="A7" s="8" t="s">
        <v>37</v>
      </c>
      <c r="B7" s="3">
        <v>1</v>
      </c>
      <c r="C7" s="3">
        <v>1</v>
      </c>
      <c r="D7" s="3">
        <v>0</v>
      </c>
      <c r="E7" s="4">
        <f>SUM(B7:D7)</f>
        <v>2</v>
      </c>
      <c r="F7" s="10">
        <v>4</v>
      </c>
    </row>
    <row r="8" spans="1:10">
      <c r="A8" s="8" t="s">
        <v>36</v>
      </c>
      <c r="B8" s="3">
        <v>1</v>
      </c>
      <c r="C8" s="3">
        <v>1</v>
      </c>
      <c r="D8" s="3">
        <v>0</v>
      </c>
      <c r="E8" s="4">
        <f t="shared" ref="E8:E12" si="0">SUM(B8:D8)</f>
        <v>2</v>
      </c>
      <c r="F8" s="10">
        <v>7</v>
      </c>
    </row>
    <row r="9" spans="1:10">
      <c r="A9" s="8" t="s">
        <v>35</v>
      </c>
      <c r="B9" s="3">
        <v>1</v>
      </c>
      <c r="C9" s="3">
        <v>1</v>
      </c>
      <c r="D9" s="3">
        <v>0</v>
      </c>
      <c r="E9" s="4">
        <f t="shared" si="0"/>
        <v>2</v>
      </c>
      <c r="F9" s="10">
        <v>5</v>
      </c>
    </row>
    <row r="10" spans="1:10">
      <c r="A10" s="8" t="s">
        <v>34</v>
      </c>
      <c r="B10" s="3">
        <v>1</v>
      </c>
      <c r="C10" s="3">
        <v>0</v>
      </c>
      <c r="D10" s="3">
        <v>1</v>
      </c>
      <c r="E10" s="4">
        <f t="shared" si="0"/>
        <v>2</v>
      </c>
      <c r="F10" s="10">
        <v>6</v>
      </c>
    </row>
    <row r="11" spans="1:10">
      <c r="A11" s="8" t="s">
        <v>38</v>
      </c>
      <c r="B11" s="3">
        <v>1</v>
      </c>
      <c r="C11" s="3">
        <v>1</v>
      </c>
      <c r="D11" s="3">
        <v>0</v>
      </c>
      <c r="E11" s="4">
        <f t="shared" si="0"/>
        <v>2</v>
      </c>
      <c r="F11" s="10">
        <v>2</v>
      </c>
    </row>
    <row r="12" spans="1:10">
      <c r="A12" s="8" t="s">
        <v>39</v>
      </c>
      <c r="B12" s="3">
        <v>1</v>
      </c>
      <c r="C12" s="3">
        <v>1</v>
      </c>
      <c r="D12" s="3">
        <v>0</v>
      </c>
      <c r="E12" s="4">
        <f t="shared" si="0"/>
        <v>2</v>
      </c>
      <c r="F12" s="10">
        <v>1</v>
      </c>
    </row>
    <row r="14" spans="1:10">
      <c r="A14" s="9" t="s">
        <v>28</v>
      </c>
      <c r="B14" s="4">
        <f>SUMPRODUCT(Semi_Truck,Demand)</f>
        <v>25</v>
      </c>
      <c r="C14" s="4">
        <f>SUMPRODUCT(Step_Van,Demand)</f>
        <v>19</v>
      </c>
      <c r="D14" s="4">
        <f>SUMPRODUCT(Cutaway_Van,Demand)</f>
        <v>6</v>
      </c>
    </row>
    <row r="15" spans="1:10">
      <c r="A15" s="9" t="s">
        <v>29</v>
      </c>
      <c r="B15" s="4">
        <f>SUM(Semi_Truck)</f>
        <v>6</v>
      </c>
      <c r="C15" s="4">
        <f>SUM(Step_Van)</f>
        <v>5</v>
      </c>
      <c r="D15" s="4">
        <f>SUM(Cutaway_Van)</f>
        <v>1</v>
      </c>
    </row>
    <row r="16" spans="1:10">
      <c r="A16" s="9" t="s">
        <v>43</v>
      </c>
      <c r="B16" s="3">
        <v>48</v>
      </c>
      <c r="C16" s="3">
        <v>22</v>
      </c>
      <c r="D16" s="3">
        <v>14</v>
      </c>
    </row>
    <row r="17" spans="1:4">
      <c r="A17" s="9" t="s">
        <v>30</v>
      </c>
      <c r="B17" s="5">
        <v>105</v>
      </c>
      <c r="C17" s="5">
        <v>115</v>
      </c>
      <c r="D17" s="5">
        <v>145</v>
      </c>
    </row>
    <row r="18" spans="1:4">
      <c r="A18" s="9" t="s">
        <v>31</v>
      </c>
      <c r="B18" s="3">
        <v>35</v>
      </c>
      <c r="C18" s="3">
        <v>30</v>
      </c>
      <c r="D18" s="3">
        <v>25</v>
      </c>
    </row>
    <row r="19" spans="1:4">
      <c r="A19" s="9" t="s">
        <v>32</v>
      </c>
      <c r="B19" s="15">
        <f>SUMPRODUCT(Number_Stops,Cost_per_Stop)</f>
        <v>1350</v>
      </c>
    </row>
    <row r="20" spans="1:4">
      <c r="A20" s="9" t="s">
        <v>33</v>
      </c>
      <c r="B20" s="16">
        <f>SUMPRODUCT(Number_Stops,Time_per_Stop)</f>
        <v>385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91265-9E62-43B0-B389-393F8D48E7C9}">
  <sheetPr codeName="Sheet11"/>
  <dimension ref="A1:R20"/>
  <sheetViews>
    <sheetView showGridLines="0" zoomScale="85" zoomScaleNormal="85" workbookViewId="0">
      <selection activeCell="F18" sqref="F18"/>
    </sheetView>
  </sheetViews>
  <sheetFormatPr defaultRowHeight="14.4"/>
  <cols>
    <col min="1" max="1" width="16" customWidth="1"/>
    <col min="2" max="2" width="11.26171875" customWidth="1"/>
    <col min="3" max="3" width="17.68359375" customWidth="1"/>
    <col min="4" max="4" width="18" customWidth="1"/>
    <col min="8" max="8" width="8.83984375" customWidth="1"/>
  </cols>
  <sheetData>
    <row r="1" spans="1:18" s="54" customFormat="1" ht="53.65" customHeight="1">
      <c r="A1" s="65"/>
      <c r="B1" s="66"/>
      <c r="C1" s="66"/>
      <c r="D1" s="66"/>
      <c r="E1" s="67"/>
      <c r="F1" s="53"/>
    </row>
    <row r="2" spans="1:18" s="50" customFormat="1" ht="18.3">
      <c r="A2" s="85" t="s">
        <v>191</v>
      </c>
      <c r="B2" s="52"/>
      <c r="C2" s="52"/>
      <c r="J2" s="84"/>
    </row>
    <row r="3" spans="1:18" ht="15.6">
      <c r="A3" s="6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 ht="15.6">
      <c r="A4" s="6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</row>
    <row r="5" spans="1:18">
      <c r="A5" s="11" t="s">
        <v>45</v>
      </c>
      <c r="B5" s="12"/>
      <c r="C5" s="12"/>
      <c r="D5" s="12"/>
      <c r="E5" s="12"/>
      <c r="F5" s="12"/>
    </row>
    <row r="6" spans="1:18">
      <c r="A6" s="13" t="s">
        <v>25</v>
      </c>
      <c r="B6" s="9" t="s">
        <v>42</v>
      </c>
      <c r="C6" s="9" t="s">
        <v>40</v>
      </c>
      <c r="D6" s="9" t="s">
        <v>41</v>
      </c>
      <c r="E6" s="14" t="s">
        <v>26</v>
      </c>
      <c r="F6" s="14" t="s">
        <v>27</v>
      </c>
    </row>
    <row r="7" spans="1:18">
      <c r="A7" s="8" t="s">
        <v>37</v>
      </c>
      <c r="B7" s="3">
        <v>1</v>
      </c>
      <c r="C7" s="3">
        <v>1</v>
      </c>
      <c r="D7" s="3">
        <v>0</v>
      </c>
      <c r="E7" s="4">
        <f t="shared" ref="E7:E12" si="0">SUM(B7:D7)</f>
        <v>2</v>
      </c>
      <c r="F7" s="10">
        <v>5</v>
      </c>
    </row>
    <row r="8" spans="1:18">
      <c r="A8" s="8" t="s">
        <v>36</v>
      </c>
      <c r="B8" s="3">
        <v>1</v>
      </c>
      <c r="C8" s="3">
        <v>1</v>
      </c>
      <c r="D8" s="3">
        <v>0</v>
      </c>
      <c r="E8" s="4">
        <f t="shared" si="0"/>
        <v>2</v>
      </c>
      <c r="F8" s="10">
        <v>4</v>
      </c>
    </row>
    <row r="9" spans="1:18">
      <c r="A9" s="8" t="s">
        <v>35</v>
      </c>
      <c r="B9" s="3">
        <v>1</v>
      </c>
      <c r="C9" s="3">
        <v>1</v>
      </c>
      <c r="D9" s="3">
        <v>0</v>
      </c>
      <c r="E9" s="4">
        <f t="shared" si="0"/>
        <v>2</v>
      </c>
      <c r="F9" s="10">
        <v>7</v>
      </c>
    </row>
    <row r="10" spans="1:18">
      <c r="A10" s="8" t="s">
        <v>34</v>
      </c>
      <c r="B10" s="3">
        <v>1</v>
      </c>
      <c r="C10" s="3">
        <v>1</v>
      </c>
      <c r="D10" s="3">
        <v>0</v>
      </c>
      <c r="E10" s="4">
        <f t="shared" si="0"/>
        <v>2</v>
      </c>
      <c r="F10" s="10">
        <v>8</v>
      </c>
    </row>
    <row r="11" spans="1:18">
      <c r="A11" s="8" t="s">
        <v>38</v>
      </c>
      <c r="B11" s="3">
        <v>1</v>
      </c>
      <c r="C11" s="3">
        <v>0</v>
      </c>
      <c r="D11" s="3">
        <v>1</v>
      </c>
      <c r="E11" s="4">
        <f t="shared" si="0"/>
        <v>2</v>
      </c>
      <c r="F11" s="10">
        <v>9</v>
      </c>
    </row>
    <row r="12" spans="1:18">
      <c r="A12" s="8" t="s">
        <v>39</v>
      </c>
      <c r="B12" s="3">
        <v>1</v>
      </c>
      <c r="C12" s="3">
        <v>1</v>
      </c>
      <c r="D12" s="3">
        <v>0</v>
      </c>
      <c r="E12" s="4">
        <f t="shared" si="0"/>
        <v>2</v>
      </c>
      <c r="F12" s="10">
        <v>6</v>
      </c>
    </row>
    <row r="14" spans="1:18">
      <c r="A14" s="9" t="s">
        <v>28</v>
      </c>
      <c r="B14" s="4">
        <f>SUMPRODUCT(Semi_Truck1,Demand1)</f>
        <v>39</v>
      </c>
      <c r="C14" s="4">
        <f>SUMPRODUCT(Step_Van1,Demand1)</f>
        <v>30</v>
      </c>
      <c r="D14" s="4">
        <f>SUMPRODUCT(Cutaway_Van1,Demand1)</f>
        <v>9</v>
      </c>
    </row>
    <row r="15" spans="1:18">
      <c r="A15" s="9" t="s">
        <v>29</v>
      </c>
      <c r="B15" s="4">
        <f>SUM(Semi_Truck1)</f>
        <v>6</v>
      </c>
      <c r="C15" s="4">
        <f>SUM(Step_Van1)</f>
        <v>5</v>
      </c>
      <c r="D15" s="4">
        <f>SUM(Cutaway_Van1)</f>
        <v>1</v>
      </c>
    </row>
    <row r="16" spans="1:18">
      <c r="A16" s="9" t="s">
        <v>43</v>
      </c>
      <c r="B16" s="3">
        <v>64</v>
      </c>
      <c r="C16" s="3">
        <v>32</v>
      </c>
      <c r="D16" s="3">
        <v>20</v>
      </c>
    </row>
    <row r="17" spans="1:4">
      <c r="A17" s="9" t="s">
        <v>30</v>
      </c>
      <c r="B17" s="5">
        <v>100</v>
      </c>
      <c r="C17" s="5">
        <v>110</v>
      </c>
      <c r="D17" s="5">
        <v>135</v>
      </c>
    </row>
    <row r="18" spans="1:4">
      <c r="A18" s="9" t="s">
        <v>31</v>
      </c>
      <c r="B18" s="3">
        <v>30</v>
      </c>
      <c r="C18" s="3">
        <v>25</v>
      </c>
      <c r="D18" s="3">
        <v>20</v>
      </c>
    </row>
    <row r="19" spans="1:4">
      <c r="A19" s="9" t="s">
        <v>32</v>
      </c>
      <c r="B19" s="15">
        <f>SUMPRODUCT(Number_Stops1,Cost_per_Stop1)</f>
        <v>1285</v>
      </c>
    </row>
    <row r="20" spans="1:4">
      <c r="A20" s="9" t="s">
        <v>33</v>
      </c>
      <c r="B20" s="16">
        <f>SUMPRODUCT(Number_Stops1,Time_per_Stop1)</f>
        <v>325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473E6-4D80-41B4-B100-840DD9B6D06E}">
  <sheetPr codeName="Sheet12"/>
  <dimension ref="A1:R20"/>
  <sheetViews>
    <sheetView showGridLines="0" zoomScale="85" zoomScaleNormal="85" workbookViewId="0">
      <selection activeCell="D21" sqref="D21"/>
    </sheetView>
  </sheetViews>
  <sheetFormatPr defaultRowHeight="14.4"/>
  <cols>
    <col min="1" max="1" width="16" customWidth="1"/>
    <col min="2" max="2" width="11.26171875" customWidth="1"/>
    <col min="3" max="3" width="17.68359375" customWidth="1"/>
    <col min="4" max="4" width="18" customWidth="1"/>
    <col min="8" max="8" width="8.83984375" customWidth="1"/>
  </cols>
  <sheetData>
    <row r="1" spans="1:18" s="54" customFormat="1" ht="53.65" customHeight="1">
      <c r="A1" s="65"/>
      <c r="B1" s="66"/>
      <c r="C1" s="66"/>
      <c r="D1" s="66"/>
      <c r="E1" s="67"/>
      <c r="F1" s="53"/>
    </row>
    <row r="2" spans="1:18" s="50" customFormat="1" ht="18.3">
      <c r="A2" s="85" t="s">
        <v>191</v>
      </c>
      <c r="B2" s="52"/>
      <c r="C2" s="52"/>
      <c r="J2" s="84"/>
    </row>
    <row r="3" spans="1:18" s="48" customFormat="1" ht="18.3">
      <c r="A3" s="94"/>
      <c r="B3" s="95"/>
      <c r="C3" s="95"/>
      <c r="J3" s="75"/>
    </row>
    <row r="4" spans="1:18" ht="15.6">
      <c r="A4" s="68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</row>
    <row r="5" spans="1:18">
      <c r="A5" s="11" t="s">
        <v>46</v>
      </c>
      <c r="B5" s="12"/>
      <c r="C5" s="12"/>
      <c r="D5" s="12"/>
      <c r="E5" s="12"/>
      <c r="F5" s="12"/>
    </row>
    <row r="6" spans="1:18">
      <c r="A6" s="13" t="s">
        <v>25</v>
      </c>
      <c r="B6" s="9" t="s">
        <v>42</v>
      </c>
      <c r="C6" s="9" t="s">
        <v>40</v>
      </c>
      <c r="D6" s="9" t="s">
        <v>41</v>
      </c>
      <c r="E6" s="14" t="s">
        <v>26</v>
      </c>
      <c r="F6" s="14" t="s">
        <v>27</v>
      </c>
    </row>
    <row r="7" spans="1:18">
      <c r="A7" s="8" t="s">
        <v>37</v>
      </c>
      <c r="B7" s="3">
        <v>1</v>
      </c>
      <c r="C7" s="3">
        <v>1</v>
      </c>
      <c r="D7" s="3">
        <v>0</v>
      </c>
      <c r="E7" s="4">
        <f t="shared" ref="E7:E12" si="0">SUM(B7:D7)</f>
        <v>2</v>
      </c>
      <c r="F7" s="10">
        <v>50</v>
      </c>
    </row>
    <row r="8" spans="1:18">
      <c r="A8" s="8" t="s">
        <v>36</v>
      </c>
      <c r="B8" s="3">
        <v>1</v>
      </c>
      <c r="C8" s="3">
        <v>1</v>
      </c>
      <c r="D8" s="3">
        <v>0</v>
      </c>
      <c r="E8" s="4">
        <f t="shared" si="0"/>
        <v>2</v>
      </c>
      <c r="F8" s="10">
        <v>25</v>
      </c>
    </row>
    <row r="9" spans="1:18">
      <c r="A9" s="8" t="s">
        <v>35</v>
      </c>
      <c r="B9" s="3">
        <v>1</v>
      </c>
      <c r="C9" s="3">
        <v>0</v>
      </c>
      <c r="D9" s="3">
        <v>1</v>
      </c>
      <c r="E9" s="4">
        <f t="shared" si="0"/>
        <v>2</v>
      </c>
      <c r="F9" s="10">
        <v>80</v>
      </c>
    </row>
    <row r="10" spans="1:18">
      <c r="A10" s="8" t="s">
        <v>34</v>
      </c>
      <c r="B10" s="3">
        <v>1</v>
      </c>
      <c r="C10" s="3">
        <v>1</v>
      </c>
      <c r="D10" s="3">
        <v>0</v>
      </c>
      <c r="E10" s="4">
        <f t="shared" si="0"/>
        <v>2</v>
      </c>
      <c r="F10" s="10">
        <v>20</v>
      </c>
    </row>
    <row r="11" spans="1:18">
      <c r="A11" s="8" t="s">
        <v>38</v>
      </c>
      <c r="B11" s="3">
        <v>1</v>
      </c>
      <c r="C11" s="3">
        <v>1</v>
      </c>
      <c r="D11" s="3">
        <v>0</v>
      </c>
      <c r="E11" s="4">
        <f t="shared" si="0"/>
        <v>2</v>
      </c>
      <c r="F11" s="10">
        <v>45</v>
      </c>
    </row>
    <row r="12" spans="1:18">
      <c r="A12" s="8" t="s">
        <v>39</v>
      </c>
      <c r="B12" s="3">
        <v>1</v>
      </c>
      <c r="C12" s="3">
        <v>1</v>
      </c>
      <c r="D12" s="3">
        <v>0</v>
      </c>
      <c r="E12" s="4">
        <f t="shared" si="0"/>
        <v>2</v>
      </c>
      <c r="F12" s="10">
        <v>60</v>
      </c>
    </row>
    <row r="14" spans="1:18">
      <c r="A14" s="9" t="s">
        <v>28</v>
      </c>
      <c r="B14" s="4">
        <f>SUMPRODUCT(Semi_Truck2,Demand2)</f>
        <v>280</v>
      </c>
      <c r="C14" s="4">
        <f>SUMPRODUCT(Step_Van2,Demand2)</f>
        <v>200</v>
      </c>
      <c r="D14" s="4">
        <f>SUMPRODUCT(Cutaway_Van2,Demand2)</f>
        <v>80</v>
      </c>
    </row>
    <row r="15" spans="1:18">
      <c r="A15" s="9" t="s">
        <v>29</v>
      </c>
      <c r="B15" s="4">
        <f>SUM(Semi_Truck2)</f>
        <v>6</v>
      </c>
      <c r="C15" s="4">
        <f>SUM(Step_Van2)</f>
        <v>5</v>
      </c>
      <c r="D15" s="4">
        <f>SUM(Cutaway_Van2)</f>
        <v>1</v>
      </c>
    </row>
    <row r="16" spans="1:18">
      <c r="A16" s="9" t="s">
        <v>43</v>
      </c>
      <c r="B16" s="3">
        <v>400</v>
      </c>
      <c r="C16" s="3">
        <v>200</v>
      </c>
      <c r="D16" s="3">
        <v>120</v>
      </c>
    </row>
    <row r="17" spans="1:4">
      <c r="A17" s="9" t="s">
        <v>30</v>
      </c>
      <c r="B17" s="5">
        <v>60</v>
      </c>
      <c r="C17" s="5">
        <v>70</v>
      </c>
      <c r="D17" s="5">
        <v>80</v>
      </c>
    </row>
    <row r="18" spans="1:4">
      <c r="A18" s="9" t="s">
        <v>31</v>
      </c>
      <c r="B18" s="3">
        <v>25</v>
      </c>
      <c r="C18" s="3">
        <v>15</v>
      </c>
      <c r="D18" s="3">
        <v>10</v>
      </c>
    </row>
    <row r="19" spans="1:4">
      <c r="A19" s="9" t="s">
        <v>32</v>
      </c>
      <c r="B19" s="15">
        <f>SUMPRODUCT(Number_Stops2,Cost_per_Stop2)</f>
        <v>790</v>
      </c>
    </row>
    <row r="20" spans="1:4">
      <c r="A20" s="9" t="s">
        <v>33</v>
      </c>
      <c r="B20" s="16">
        <f>SUMPRODUCT(Number_Stops2,Time_per_Stop2)</f>
        <v>235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DA929-CFA2-4906-9BE7-02E080EA0AAB}">
  <sheetPr codeName="Sheet17"/>
  <dimension ref="A1:W72"/>
  <sheetViews>
    <sheetView showGridLines="0" workbookViewId="0">
      <selection activeCell="F35" sqref="F35"/>
    </sheetView>
  </sheetViews>
  <sheetFormatPr defaultColWidth="8.83984375" defaultRowHeight="14.4"/>
  <cols>
    <col min="1" max="2" width="8.26171875" style="48" bestFit="1" customWidth="1"/>
    <col min="3" max="3" width="13" style="48" bestFit="1" customWidth="1"/>
    <col min="4" max="4" width="13.41796875" style="48" customWidth="1"/>
    <col min="5" max="5" width="12.15625" style="48" customWidth="1"/>
    <col min="6" max="7" width="8.83984375" style="48"/>
    <col min="8" max="8" width="12" style="48" bestFit="1" customWidth="1"/>
    <col min="9" max="9" width="8.83984375" style="48"/>
    <col min="10" max="10" width="8.83984375" style="75"/>
    <col min="11" max="11" width="9.68359375" style="48" bestFit="1" customWidth="1"/>
    <col min="12" max="12" width="12.26171875" style="48" customWidth="1"/>
    <col min="13" max="14" width="12.68359375" style="48" customWidth="1"/>
    <col min="15" max="15" width="13" style="48" bestFit="1" customWidth="1"/>
    <col min="16" max="17" width="12.68359375" style="48" customWidth="1"/>
    <col min="18" max="18" width="3.68359375" style="48" customWidth="1"/>
    <col min="19" max="23" width="12.68359375" style="48" customWidth="1"/>
    <col min="24" max="16384" width="8.83984375" style="48"/>
  </cols>
  <sheetData>
    <row r="1" spans="1:23" s="54" customFormat="1" ht="53.65" customHeight="1">
      <c r="A1" s="65"/>
      <c r="B1" s="66"/>
      <c r="C1" s="66"/>
      <c r="D1" s="66"/>
      <c r="E1" s="67"/>
      <c r="F1" s="53"/>
    </row>
    <row r="2" spans="1:23" ht="18.3">
      <c r="A2" s="85" t="s">
        <v>77</v>
      </c>
      <c r="B2" s="52"/>
      <c r="C2" s="52"/>
      <c r="D2" s="50"/>
      <c r="E2" s="50"/>
      <c r="F2" s="50"/>
      <c r="G2" s="50"/>
      <c r="H2" s="50"/>
      <c r="I2" s="50"/>
      <c r="J2" s="84"/>
      <c r="K2" s="50"/>
    </row>
    <row r="3" spans="1:23">
      <c r="A3" s="69"/>
      <c r="B3" s="69"/>
      <c r="C3" s="69"/>
      <c r="D3" s="69"/>
      <c r="E3" s="69"/>
      <c r="F3" s="69"/>
      <c r="G3" s="69"/>
      <c r="H3" s="69"/>
      <c r="I3" s="69"/>
      <c r="J3" s="70"/>
      <c r="K3" s="69"/>
    </row>
    <row r="4" spans="1:23">
      <c r="A4" s="69"/>
      <c r="B4" s="69"/>
      <c r="C4" s="69"/>
      <c r="D4" s="71" t="s">
        <v>78</v>
      </c>
      <c r="E4" s="69"/>
      <c r="F4" s="69"/>
      <c r="G4" s="69"/>
      <c r="H4" s="69"/>
      <c r="I4" s="69"/>
      <c r="J4" s="70"/>
      <c r="K4" s="69"/>
      <c r="M4" s="50"/>
      <c r="N4" s="50"/>
      <c r="O4" s="50"/>
      <c r="P4" s="50"/>
      <c r="Q4" s="50"/>
      <c r="R4" s="50"/>
      <c r="S4" s="50"/>
      <c r="T4" s="50"/>
      <c r="U4" s="50"/>
      <c r="V4" s="84"/>
      <c r="W4" s="50"/>
    </row>
    <row r="5" spans="1:23" ht="18.3">
      <c r="A5" s="69"/>
      <c r="B5" s="69"/>
      <c r="C5" s="69"/>
      <c r="D5" s="74">
        <v>1005</v>
      </c>
      <c r="E5" s="69"/>
      <c r="F5" s="69"/>
      <c r="G5" s="69"/>
      <c r="H5" s="69"/>
      <c r="I5" s="69"/>
      <c r="J5" s="70"/>
      <c r="K5" s="69"/>
      <c r="M5" s="85" t="s">
        <v>79</v>
      </c>
      <c r="N5" s="52"/>
      <c r="O5" s="50"/>
      <c r="P5" s="50"/>
      <c r="Q5" s="50"/>
      <c r="R5" s="50"/>
      <c r="S5" s="50"/>
      <c r="T5" s="50"/>
      <c r="U5" s="50"/>
      <c r="V5" s="84"/>
      <c r="W5" s="50"/>
    </row>
    <row r="6" spans="1:23">
      <c r="A6" s="69"/>
      <c r="B6" s="69"/>
      <c r="C6" s="69"/>
      <c r="D6" s="69"/>
      <c r="E6" s="69"/>
      <c r="F6" s="69"/>
      <c r="G6" s="69"/>
      <c r="H6" s="69"/>
      <c r="I6" s="69"/>
      <c r="J6" s="70"/>
      <c r="K6" s="69"/>
      <c r="V6" s="75"/>
    </row>
    <row r="7" spans="1:23" s="72" customFormat="1">
      <c r="A7" s="51" t="s">
        <v>80</v>
      </c>
      <c r="B7" s="51"/>
      <c r="C7" s="51"/>
      <c r="D7" s="51"/>
      <c r="E7" s="51"/>
      <c r="G7" s="51" t="s">
        <v>81</v>
      </c>
      <c r="H7" s="51"/>
      <c r="I7" s="51"/>
      <c r="J7" s="88"/>
      <c r="K7" s="51"/>
      <c r="M7" s="51" t="s">
        <v>80</v>
      </c>
      <c r="N7" s="51"/>
      <c r="O7" s="51"/>
      <c r="P7" s="51"/>
      <c r="Q7" s="51"/>
      <c r="S7" s="51" t="s">
        <v>81</v>
      </c>
      <c r="T7" s="49"/>
      <c r="U7" s="49"/>
      <c r="V7" s="87"/>
      <c r="W7" s="49"/>
    </row>
    <row r="8" spans="1:23">
      <c r="A8" s="86" t="s">
        <v>82</v>
      </c>
      <c r="B8" s="86" t="s">
        <v>83</v>
      </c>
      <c r="C8" s="86" t="s">
        <v>84</v>
      </c>
      <c r="D8" s="86" t="s">
        <v>85</v>
      </c>
      <c r="E8" s="86" t="s">
        <v>86</v>
      </c>
      <c r="F8" s="72"/>
      <c r="G8" s="86" t="s">
        <v>82</v>
      </c>
      <c r="H8" s="86" t="s">
        <v>87</v>
      </c>
      <c r="I8" s="86" t="s">
        <v>88</v>
      </c>
      <c r="J8" s="89" t="s">
        <v>89</v>
      </c>
      <c r="K8" s="86" t="s">
        <v>90</v>
      </c>
      <c r="L8" s="72"/>
      <c r="M8" s="86" t="s">
        <v>82</v>
      </c>
      <c r="N8" s="86" t="s">
        <v>83</v>
      </c>
      <c r="O8" s="86" t="s">
        <v>84</v>
      </c>
      <c r="P8" s="86" t="s">
        <v>85</v>
      </c>
      <c r="Q8" s="86" t="s">
        <v>86</v>
      </c>
      <c r="R8"/>
      <c r="S8" s="86" t="s">
        <v>82</v>
      </c>
      <c r="T8" s="86" t="s">
        <v>87</v>
      </c>
      <c r="U8" s="86" t="s">
        <v>88</v>
      </c>
      <c r="V8" s="89" t="s">
        <v>89</v>
      </c>
      <c r="W8" s="86" t="s">
        <v>90</v>
      </c>
    </row>
    <row r="9" spans="1:23">
      <c r="A9" s="73" t="s">
        <v>91</v>
      </c>
      <c r="B9" s="76" t="s">
        <v>92</v>
      </c>
      <c r="C9" s="90" t="s">
        <v>155</v>
      </c>
      <c r="D9" s="76" t="str">
        <f>_xlfn.XLOOKUP(A9, G9:G33, H9:H33)</f>
        <v>Camden</v>
      </c>
      <c r="E9" s="77">
        <f>SUMIF(OrderID,A9,Price)</f>
        <v>153.39000000000001</v>
      </c>
      <c r="G9" s="73" t="s">
        <v>91</v>
      </c>
      <c r="H9" s="76" t="s">
        <v>190</v>
      </c>
      <c r="I9" s="76" t="s">
        <v>93</v>
      </c>
      <c r="J9" s="91">
        <v>3</v>
      </c>
      <c r="K9" s="77">
        <f>VLOOKUP(OrderProd,ProdPrice,6,FALSE)*OrderQ</f>
        <v>153.39000000000001</v>
      </c>
      <c r="M9" s="73" t="s">
        <v>103</v>
      </c>
      <c r="N9" s="76" t="s">
        <v>104</v>
      </c>
      <c r="O9" s="90" t="s">
        <v>159</v>
      </c>
      <c r="P9" s="76" t="str">
        <f t="shared" ref="P9" si="0">_xlfn.XLOOKUP(M9, S9:S33, T9:T33)</f>
        <v>Chatsworth</v>
      </c>
      <c r="Q9" s="77">
        <f t="shared" ref="Q9" si="1">SUMIF(OrderID,M9,Price)</f>
        <v>2899.61</v>
      </c>
      <c r="R9"/>
      <c r="S9" s="73" t="s">
        <v>103</v>
      </c>
      <c r="T9" s="76" t="s">
        <v>196</v>
      </c>
      <c r="U9" s="76" t="s">
        <v>110</v>
      </c>
      <c r="V9" s="91">
        <v>1</v>
      </c>
      <c r="W9" s="77">
        <f t="shared" ref="W9:W10" si="2">VLOOKUP(OrderProd,ProdPrice,6,FALSE)*OrderQ</f>
        <v>153.39000000000001</v>
      </c>
    </row>
    <row r="10" spans="1:23">
      <c r="A10" s="73" t="s">
        <v>94</v>
      </c>
      <c r="B10" s="76" t="s">
        <v>95</v>
      </c>
      <c r="C10" s="90" t="s">
        <v>156</v>
      </c>
      <c r="D10" s="76" t="str">
        <f t="shared" ref="D10:D33" si="3">_xlfn.XLOOKUP(A10, G10:G34, H10:H34)</f>
        <v>Chatsworth</v>
      </c>
      <c r="E10" s="77">
        <f t="shared" ref="E10:E28" si="4">SUMIF(OrderID,A10,Price)</f>
        <v>4432.54</v>
      </c>
      <c r="G10" s="73" t="s">
        <v>94</v>
      </c>
      <c r="H10" s="76" t="s">
        <v>196</v>
      </c>
      <c r="I10" s="76" t="s">
        <v>96</v>
      </c>
      <c r="J10" s="91">
        <v>2</v>
      </c>
      <c r="K10" s="77">
        <f t="shared" ref="K10:K72" si="5">VLOOKUP(OrderProd,ProdPrice,6,FALSE)*OrderQ</f>
        <v>1621.84</v>
      </c>
      <c r="M10"/>
      <c r="N10"/>
      <c r="O10"/>
      <c r="P10"/>
      <c r="Q10"/>
      <c r="R10"/>
      <c r="S10" s="73" t="s">
        <v>103</v>
      </c>
      <c r="T10" s="76" t="s">
        <v>197</v>
      </c>
      <c r="U10" s="76" t="s">
        <v>115</v>
      </c>
      <c r="V10" s="91">
        <v>1</v>
      </c>
      <c r="W10" s="77">
        <f t="shared" si="2"/>
        <v>1621.84</v>
      </c>
    </row>
    <row r="11" spans="1:23">
      <c r="A11" s="73" t="s">
        <v>97</v>
      </c>
      <c r="B11" s="76" t="s">
        <v>98</v>
      </c>
      <c r="C11" s="90" t="s">
        <v>157</v>
      </c>
      <c r="D11" s="76" t="str">
        <f t="shared" si="3"/>
        <v>Louisville</v>
      </c>
      <c r="E11" s="77">
        <f t="shared" si="4"/>
        <v>4628.6000000000004</v>
      </c>
      <c r="G11" s="73" t="s">
        <v>94</v>
      </c>
      <c r="H11" s="76" t="s">
        <v>197</v>
      </c>
      <c r="I11" s="76" t="s">
        <v>99</v>
      </c>
      <c r="J11" s="91">
        <v>3</v>
      </c>
      <c r="K11" s="77">
        <f t="shared" si="5"/>
        <v>2810.7</v>
      </c>
    </row>
    <row r="12" spans="1:23">
      <c r="A12" s="73" t="s">
        <v>100</v>
      </c>
      <c r="B12" s="76" t="s">
        <v>101</v>
      </c>
      <c r="C12" s="90" t="s">
        <v>158</v>
      </c>
      <c r="D12" s="76" t="str">
        <f t="shared" si="3"/>
        <v>Lafayette</v>
      </c>
      <c r="E12" s="77">
        <f t="shared" si="4"/>
        <v>2872.9300000000003</v>
      </c>
      <c r="G12" s="73" t="s">
        <v>97</v>
      </c>
      <c r="H12" s="76" t="s">
        <v>188</v>
      </c>
      <c r="I12" s="76" t="s">
        <v>102</v>
      </c>
      <c r="J12" s="91">
        <v>4</v>
      </c>
      <c r="K12" s="77">
        <f t="shared" si="5"/>
        <v>4387.6000000000004</v>
      </c>
    </row>
    <row r="13" spans="1:23">
      <c r="A13" s="73" t="s">
        <v>103</v>
      </c>
      <c r="B13" s="76" t="s">
        <v>104</v>
      </c>
      <c r="C13" s="90" t="s">
        <v>159</v>
      </c>
      <c r="D13" s="76" t="str">
        <f t="shared" si="3"/>
        <v>Chatsworth</v>
      </c>
      <c r="E13" s="77">
        <f t="shared" si="4"/>
        <v>2899.61</v>
      </c>
      <c r="G13" s="73" t="s">
        <v>97</v>
      </c>
      <c r="H13" s="76" t="s">
        <v>189</v>
      </c>
      <c r="I13" s="76" t="s">
        <v>105</v>
      </c>
      <c r="J13" s="91">
        <v>4</v>
      </c>
      <c r="K13" s="77">
        <f t="shared" si="5"/>
        <v>241</v>
      </c>
    </row>
    <row r="14" spans="1:23">
      <c r="A14" s="73" t="s">
        <v>106</v>
      </c>
      <c r="B14" s="76" t="s">
        <v>107</v>
      </c>
      <c r="C14" s="90" t="s">
        <v>160</v>
      </c>
      <c r="D14" s="76" t="str">
        <f t="shared" si="3"/>
        <v>Louisville</v>
      </c>
      <c r="E14" s="77">
        <f t="shared" si="4"/>
        <v>8713.0800000000017</v>
      </c>
      <c r="G14" s="73" t="s">
        <v>100</v>
      </c>
      <c r="H14" s="76" t="s">
        <v>198</v>
      </c>
      <c r="I14" s="76" t="s">
        <v>93</v>
      </c>
      <c r="J14" s="91">
        <v>1</v>
      </c>
      <c r="K14" s="77">
        <f t="shared" si="5"/>
        <v>51.13</v>
      </c>
    </row>
    <row r="15" spans="1:23">
      <c r="A15" s="73" t="s">
        <v>108</v>
      </c>
      <c r="B15" s="76" t="s">
        <v>109</v>
      </c>
      <c r="C15" s="90" t="s">
        <v>161</v>
      </c>
      <c r="D15" s="76" t="str">
        <f t="shared" si="3"/>
        <v>Camden</v>
      </c>
      <c r="E15" s="77">
        <f t="shared" si="4"/>
        <v>4466.13</v>
      </c>
      <c r="G15" s="73" t="s">
        <v>100</v>
      </c>
      <c r="H15" s="76" t="s">
        <v>190</v>
      </c>
      <c r="I15" s="76" t="s">
        <v>110</v>
      </c>
      <c r="J15" s="91">
        <v>2</v>
      </c>
      <c r="K15" s="77">
        <f t="shared" si="5"/>
        <v>2821.8</v>
      </c>
    </row>
    <row r="16" spans="1:23">
      <c r="A16" s="73" t="s">
        <v>111</v>
      </c>
      <c r="B16" s="76" t="s">
        <v>112</v>
      </c>
      <c r="C16" s="90" t="s">
        <v>162</v>
      </c>
      <c r="D16" s="76" t="str">
        <f t="shared" si="3"/>
        <v>Chatsworth</v>
      </c>
      <c r="E16" s="77">
        <f t="shared" si="4"/>
        <v>83.44</v>
      </c>
      <c r="G16" s="73" t="s">
        <v>103</v>
      </c>
      <c r="H16" s="76" t="s">
        <v>196</v>
      </c>
      <c r="I16" s="76" t="s">
        <v>110</v>
      </c>
      <c r="J16" s="91">
        <v>1</v>
      </c>
      <c r="K16" s="77">
        <f t="shared" si="5"/>
        <v>1410.9</v>
      </c>
    </row>
    <row r="17" spans="1:11">
      <c r="A17" s="73" t="s">
        <v>113</v>
      </c>
      <c r="B17" s="76" t="s">
        <v>114</v>
      </c>
      <c r="C17" s="90" t="s">
        <v>163</v>
      </c>
      <c r="D17" s="76" t="str">
        <f t="shared" si="3"/>
        <v>Decatur</v>
      </c>
      <c r="E17" s="77">
        <f t="shared" si="4"/>
        <v>3767.15</v>
      </c>
      <c r="G17" s="73" t="s">
        <v>103</v>
      </c>
      <c r="H17" s="76" t="s">
        <v>197</v>
      </c>
      <c r="I17" s="76" t="s">
        <v>115</v>
      </c>
      <c r="J17" s="91">
        <v>1</v>
      </c>
      <c r="K17" s="77">
        <f t="shared" si="5"/>
        <v>1488.71</v>
      </c>
    </row>
    <row r="18" spans="1:11">
      <c r="A18" s="73" t="s">
        <v>116</v>
      </c>
      <c r="B18" s="76" t="s">
        <v>117</v>
      </c>
      <c r="C18" s="90" t="s">
        <v>164</v>
      </c>
      <c r="D18" s="76" t="str">
        <f t="shared" si="3"/>
        <v>Selmer</v>
      </c>
      <c r="E18" s="77">
        <f t="shared" si="4"/>
        <v>1621.84</v>
      </c>
      <c r="G18" s="73" t="s">
        <v>106</v>
      </c>
      <c r="H18" s="76" t="s">
        <v>188</v>
      </c>
      <c r="I18" s="76" t="s">
        <v>115</v>
      </c>
      <c r="J18" s="91">
        <v>3</v>
      </c>
      <c r="K18" s="77">
        <f t="shared" si="5"/>
        <v>4466.13</v>
      </c>
    </row>
    <row r="19" spans="1:11">
      <c r="A19" s="73" t="s">
        <v>118</v>
      </c>
      <c r="B19" s="76" t="s">
        <v>119</v>
      </c>
      <c r="C19" s="90" t="s">
        <v>165</v>
      </c>
      <c r="D19" s="76" t="str">
        <f t="shared" si="3"/>
        <v>Lafayette</v>
      </c>
      <c r="E19" s="77">
        <f t="shared" si="4"/>
        <v>1564.2900000000002</v>
      </c>
      <c r="G19" s="73" t="s">
        <v>106</v>
      </c>
      <c r="H19" s="76" t="s">
        <v>189</v>
      </c>
      <c r="I19" s="76" t="s">
        <v>110</v>
      </c>
      <c r="J19" s="91">
        <v>1</v>
      </c>
      <c r="K19" s="77">
        <f t="shared" si="5"/>
        <v>1410.9</v>
      </c>
    </row>
    <row r="20" spans="1:11">
      <c r="A20" s="73" t="s">
        <v>120</v>
      </c>
      <c r="B20" s="76" t="s">
        <v>121</v>
      </c>
      <c r="C20" s="90" t="s">
        <v>166</v>
      </c>
      <c r="D20" s="76" t="str">
        <f t="shared" si="3"/>
        <v>Chatsworth</v>
      </c>
      <c r="E20" s="77">
        <f t="shared" si="4"/>
        <v>1488.71</v>
      </c>
      <c r="G20" s="73" t="s">
        <v>106</v>
      </c>
      <c r="H20" s="76" t="s">
        <v>198</v>
      </c>
      <c r="I20" s="76" t="s">
        <v>122</v>
      </c>
      <c r="J20" s="91">
        <v>3</v>
      </c>
      <c r="K20" s="77">
        <f t="shared" si="5"/>
        <v>2836.05</v>
      </c>
    </row>
    <row r="21" spans="1:11">
      <c r="A21" s="73" t="s">
        <v>123</v>
      </c>
      <c r="B21" s="76" t="s">
        <v>124</v>
      </c>
      <c r="C21" s="90" t="s">
        <v>167</v>
      </c>
      <c r="D21" s="76" t="str">
        <f t="shared" si="3"/>
        <v>Decatur</v>
      </c>
      <c r="E21" s="77">
        <f t="shared" si="4"/>
        <v>2637.2799999999997</v>
      </c>
      <c r="G21" s="73" t="s">
        <v>108</v>
      </c>
      <c r="H21" s="76" t="s">
        <v>190</v>
      </c>
      <c r="I21" s="76" t="s">
        <v>115</v>
      </c>
      <c r="J21" s="91">
        <v>3</v>
      </c>
      <c r="K21" s="77">
        <f t="shared" si="5"/>
        <v>4466.13</v>
      </c>
    </row>
    <row r="22" spans="1:11">
      <c r="A22" s="73" t="s">
        <v>125</v>
      </c>
      <c r="B22" s="76" t="s">
        <v>126</v>
      </c>
      <c r="C22" s="90" t="s">
        <v>168</v>
      </c>
      <c r="D22" s="76" t="str">
        <f t="shared" si="3"/>
        <v>Selmer</v>
      </c>
      <c r="E22" s="77">
        <f t="shared" si="4"/>
        <v>6121.72</v>
      </c>
      <c r="G22" s="73" t="s">
        <v>111</v>
      </c>
      <c r="H22" s="76" t="s">
        <v>196</v>
      </c>
      <c r="I22" s="76" t="s">
        <v>127</v>
      </c>
      <c r="J22" s="91">
        <v>1</v>
      </c>
      <c r="K22" s="77">
        <f t="shared" si="5"/>
        <v>83.44</v>
      </c>
    </row>
    <row r="23" spans="1:11">
      <c r="A23" s="73" t="s">
        <v>128</v>
      </c>
      <c r="B23" s="76" t="s">
        <v>129</v>
      </c>
      <c r="C23" s="90" t="s">
        <v>169</v>
      </c>
      <c r="D23" s="76" t="str">
        <f t="shared" si="3"/>
        <v>Camden</v>
      </c>
      <c r="E23" s="77">
        <f t="shared" si="4"/>
        <v>810.92</v>
      </c>
      <c r="G23" s="73" t="s">
        <v>113</v>
      </c>
      <c r="H23" s="76" t="s">
        <v>197</v>
      </c>
      <c r="I23" s="76" t="s">
        <v>122</v>
      </c>
      <c r="J23" s="91">
        <v>1</v>
      </c>
      <c r="K23" s="77">
        <f t="shared" si="5"/>
        <v>945.35</v>
      </c>
    </row>
    <row r="24" spans="1:11">
      <c r="A24" s="73" t="s">
        <v>130</v>
      </c>
      <c r="B24" s="76" t="s">
        <v>131</v>
      </c>
      <c r="C24" s="90" t="s">
        <v>170</v>
      </c>
      <c r="D24" s="76" t="str">
        <f t="shared" si="3"/>
        <v>Chatsworth</v>
      </c>
      <c r="E24" s="77">
        <f t="shared" si="4"/>
        <v>5506.52</v>
      </c>
      <c r="G24" s="73" t="s">
        <v>113</v>
      </c>
      <c r="H24" s="76" t="s">
        <v>188</v>
      </c>
      <c r="I24" s="76" t="s">
        <v>110</v>
      </c>
      <c r="J24" s="91">
        <v>2</v>
      </c>
      <c r="K24" s="77">
        <f t="shared" si="5"/>
        <v>2821.8</v>
      </c>
    </row>
    <row r="25" spans="1:11">
      <c r="A25" s="73" t="s">
        <v>132</v>
      </c>
      <c r="B25" s="76" t="s">
        <v>133</v>
      </c>
      <c r="C25" s="90" t="s">
        <v>171</v>
      </c>
      <c r="D25" s="76" t="str">
        <f t="shared" si="3"/>
        <v>Selmer</v>
      </c>
      <c r="E25" s="77">
        <f t="shared" si="4"/>
        <v>6289.2000000000007</v>
      </c>
      <c r="G25" s="73" t="s">
        <v>116</v>
      </c>
      <c r="H25" s="76" t="s">
        <v>189</v>
      </c>
      <c r="I25" s="76" t="s">
        <v>96</v>
      </c>
      <c r="J25" s="91">
        <v>2</v>
      </c>
      <c r="K25" s="77">
        <f t="shared" si="5"/>
        <v>1621.84</v>
      </c>
    </row>
    <row r="26" spans="1:11">
      <c r="A26" s="73" t="s">
        <v>134</v>
      </c>
      <c r="B26" s="76" t="s">
        <v>135</v>
      </c>
      <c r="C26" s="90" t="s">
        <v>172</v>
      </c>
      <c r="D26" s="76" t="str">
        <f t="shared" si="3"/>
        <v>Chatsworth</v>
      </c>
      <c r="E26" s="77">
        <f t="shared" si="4"/>
        <v>3747.6</v>
      </c>
      <c r="G26" s="73" t="s">
        <v>118</v>
      </c>
      <c r="H26" s="76" t="s">
        <v>198</v>
      </c>
      <c r="I26" s="76" t="s">
        <v>110</v>
      </c>
      <c r="J26" s="91">
        <v>1</v>
      </c>
      <c r="K26" s="77">
        <f t="shared" si="5"/>
        <v>1410.9</v>
      </c>
    </row>
    <row r="27" spans="1:11">
      <c r="A27" s="73" t="s">
        <v>136</v>
      </c>
      <c r="B27" s="76" t="s">
        <v>137</v>
      </c>
      <c r="C27" s="90" t="s">
        <v>173</v>
      </c>
      <c r="D27" s="76" t="str">
        <f t="shared" si="3"/>
        <v>Decatur</v>
      </c>
      <c r="E27" s="77">
        <f t="shared" si="4"/>
        <v>5377.89</v>
      </c>
      <c r="G27" s="73" t="s">
        <v>118</v>
      </c>
      <c r="H27" s="76" t="s">
        <v>190</v>
      </c>
      <c r="I27" s="76" t="s">
        <v>93</v>
      </c>
      <c r="J27" s="91">
        <v>3</v>
      </c>
      <c r="K27" s="77">
        <f t="shared" si="5"/>
        <v>153.39000000000001</v>
      </c>
    </row>
    <row r="28" spans="1:11">
      <c r="A28" s="73" t="s">
        <v>138</v>
      </c>
      <c r="B28" s="76" t="s">
        <v>139</v>
      </c>
      <c r="C28" s="90" t="s">
        <v>174</v>
      </c>
      <c r="D28" s="76" t="str">
        <f t="shared" si="3"/>
        <v>Lafayette</v>
      </c>
      <c r="E28" s="77">
        <f t="shared" si="4"/>
        <v>3934.03</v>
      </c>
      <c r="G28" s="73" t="s">
        <v>120</v>
      </c>
      <c r="H28" s="76" t="s">
        <v>196</v>
      </c>
      <c r="I28" s="76" t="s">
        <v>115</v>
      </c>
      <c r="J28" s="91">
        <v>1</v>
      </c>
      <c r="K28" s="77">
        <f t="shared" si="5"/>
        <v>1488.71</v>
      </c>
    </row>
    <row r="29" spans="1:11">
      <c r="A29" s="73" t="s">
        <v>175</v>
      </c>
      <c r="B29" s="76" t="s">
        <v>176</v>
      </c>
      <c r="C29" s="90" t="s">
        <v>177</v>
      </c>
      <c r="D29" s="76" t="str">
        <f t="shared" si="3"/>
        <v>Decatur</v>
      </c>
      <c r="E29" s="77">
        <f t="shared" ref="E29" si="6">SUMIF(OrderID,A29,Price)</f>
        <v>10087.529999999999</v>
      </c>
      <c r="G29" s="73" t="s">
        <v>123</v>
      </c>
      <c r="H29" s="76" t="s">
        <v>197</v>
      </c>
      <c r="I29" s="76" t="s">
        <v>93</v>
      </c>
      <c r="J29" s="91">
        <v>4</v>
      </c>
      <c r="K29" s="77">
        <f t="shared" si="5"/>
        <v>204.52</v>
      </c>
    </row>
    <row r="30" spans="1:11">
      <c r="A30" s="73" t="s">
        <v>178</v>
      </c>
      <c r="B30" s="76" t="s">
        <v>176</v>
      </c>
      <c r="C30" s="90" t="s">
        <v>179</v>
      </c>
      <c r="D30" s="76" t="str">
        <f t="shared" si="3"/>
        <v>Selmer</v>
      </c>
      <c r="E30" s="77">
        <f t="shared" ref="E30" si="7">SUMIF(OrderID,A30,Price)</f>
        <v>3218.42</v>
      </c>
      <c r="G30" s="73" t="s">
        <v>123</v>
      </c>
      <c r="H30" s="76" t="s">
        <v>188</v>
      </c>
      <c r="I30" s="76" t="s">
        <v>96</v>
      </c>
      <c r="J30" s="91">
        <v>3</v>
      </c>
      <c r="K30" s="77">
        <f t="shared" si="5"/>
        <v>2432.7599999999998</v>
      </c>
    </row>
    <row r="31" spans="1:11">
      <c r="A31" s="73" t="s">
        <v>180</v>
      </c>
      <c r="B31" s="76" t="s">
        <v>181</v>
      </c>
      <c r="C31" s="90" t="s">
        <v>182</v>
      </c>
      <c r="D31" s="76" t="str">
        <f t="shared" si="3"/>
        <v>Camden</v>
      </c>
      <c r="E31" s="77">
        <f t="shared" ref="E31" si="8">SUMIF(OrderID,A31,Price)</f>
        <v>120.5</v>
      </c>
      <c r="G31" s="73" t="s">
        <v>125</v>
      </c>
      <c r="H31" s="76" t="s">
        <v>189</v>
      </c>
      <c r="I31" s="76" t="s">
        <v>115</v>
      </c>
      <c r="J31" s="91">
        <v>4</v>
      </c>
      <c r="K31" s="77">
        <f t="shared" si="5"/>
        <v>5954.84</v>
      </c>
    </row>
    <row r="32" spans="1:11">
      <c r="A32" s="73" t="s">
        <v>183</v>
      </c>
      <c r="B32" s="76" t="s">
        <v>184</v>
      </c>
      <c r="C32" s="90" t="s">
        <v>185</v>
      </c>
      <c r="D32" s="76" t="str">
        <f t="shared" si="3"/>
        <v>Chatsworth</v>
      </c>
      <c r="E32" s="77">
        <f t="shared" ref="E32" si="9">SUMIF(OrderID,A32,Price)</f>
        <v>9369</v>
      </c>
      <c r="G32" s="73" t="s">
        <v>125</v>
      </c>
      <c r="H32" s="76" t="s">
        <v>198</v>
      </c>
      <c r="I32" s="76" t="s">
        <v>127</v>
      </c>
      <c r="J32" s="91">
        <v>2</v>
      </c>
      <c r="K32" s="77">
        <f t="shared" si="5"/>
        <v>166.88</v>
      </c>
    </row>
    <row r="33" spans="1:11">
      <c r="A33" s="73" t="s">
        <v>186</v>
      </c>
      <c r="B33" s="76" t="s">
        <v>187</v>
      </c>
      <c r="C33" s="90" t="s">
        <v>185</v>
      </c>
      <c r="D33" s="76" t="str">
        <f t="shared" si="3"/>
        <v>Decatur</v>
      </c>
      <c r="E33" s="77">
        <f t="shared" ref="E33" si="10">SUMIF(OrderID,A33,Price)</f>
        <v>496.65</v>
      </c>
      <c r="G33" s="73" t="s">
        <v>128</v>
      </c>
      <c r="H33" s="76" t="s">
        <v>190</v>
      </c>
      <c r="I33" s="76" t="s">
        <v>96</v>
      </c>
      <c r="J33" s="91">
        <v>1</v>
      </c>
      <c r="K33" s="77">
        <f t="shared" si="5"/>
        <v>810.92</v>
      </c>
    </row>
    <row r="34" spans="1:11">
      <c r="A34" s="73" t="s">
        <v>91</v>
      </c>
      <c r="B34" s="76" t="s">
        <v>92</v>
      </c>
      <c r="C34" s="90" t="s">
        <v>155</v>
      </c>
      <c r="D34" s="76" t="e">
        <f>_xlfn.XLOOKUP(A34, G34:G58, H34:H58)</f>
        <v>#N/A</v>
      </c>
      <c r="E34" s="77">
        <f>SUMIF(OrderID,A34,Price)</f>
        <v>153.39000000000001</v>
      </c>
      <c r="G34" s="73" t="s">
        <v>130</v>
      </c>
      <c r="H34" s="76" t="s">
        <v>196</v>
      </c>
      <c r="I34" s="76" t="s">
        <v>99</v>
      </c>
      <c r="J34" s="91">
        <v>2</v>
      </c>
      <c r="K34" s="77">
        <f t="shared" si="5"/>
        <v>1873.8</v>
      </c>
    </row>
    <row r="35" spans="1:11">
      <c r="A35" s="73" t="s">
        <v>199</v>
      </c>
      <c r="B35" s="76" t="s">
        <v>200</v>
      </c>
      <c r="C35" s="90" t="s">
        <v>201</v>
      </c>
      <c r="D35" s="76" t="s">
        <v>196</v>
      </c>
      <c r="E35" s="77">
        <f>SUMIF(OrderID,A35,Price)</f>
        <v>12011.75</v>
      </c>
      <c r="G35" s="73" t="s">
        <v>130</v>
      </c>
      <c r="H35" s="76" t="s">
        <v>197</v>
      </c>
      <c r="I35" s="76" t="s">
        <v>96</v>
      </c>
      <c r="J35" s="91">
        <v>1</v>
      </c>
      <c r="K35" s="77">
        <f t="shared" si="5"/>
        <v>810.92</v>
      </c>
    </row>
    <row r="36" spans="1:11">
      <c r="A36" s="73" t="s">
        <v>202</v>
      </c>
      <c r="B36" s="76" t="s">
        <v>200</v>
      </c>
      <c r="C36" s="90" t="s">
        <v>201</v>
      </c>
      <c r="D36" s="76" t="s">
        <v>196</v>
      </c>
      <c r="E36" s="77">
        <f>SUMIF(OrderID,A36,Price)</f>
        <v>14205.55</v>
      </c>
      <c r="G36" s="73" t="s">
        <v>130</v>
      </c>
      <c r="H36" s="76" t="s">
        <v>188</v>
      </c>
      <c r="I36" s="76" t="s">
        <v>110</v>
      </c>
      <c r="J36" s="91">
        <v>2</v>
      </c>
      <c r="K36" s="77">
        <f t="shared" si="5"/>
        <v>2821.8</v>
      </c>
    </row>
    <row r="37" spans="1:11">
      <c r="G37" s="73" t="s">
        <v>132</v>
      </c>
      <c r="H37" s="76" t="s">
        <v>189</v>
      </c>
      <c r="I37" s="76" t="s">
        <v>122</v>
      </c>
      <c r="J37" s="91">
        <v>4</v>
      </c>
      <c r="K37" s="77">
        <f t="shared" si="5"/>
        <v>3781.4</v>
      </c>
    </row>
    <row r="38" spans="1:11">
      <c r="G38" s="73" t="s">
        <v>132</v>
      </c>
      <c r="H38" s="76" t="s">
        <v>198</v>
      </c>
      <c r="I38" s="76" t="s">
        <v>102</v>
      </c>
      <c r="J38" s="91">
        <v>1</v>
      </c>
      <c r="K38" s="77">
        <f t="shared" si="5"/>
        <v>1096.9000000000001</v>
      </c>
    </row>
    <row r="39" spans="1:11">
      <c r="G39" s="73" t="s">
        <v>132</v>
      </c>
      <c r="H39" s="76" t="s">
        <v>190</v>
      </c>
      <c r="I39" s="76" t="s">
        <v>110</v>
      </c>
      <c r="J39" s="91">
        <v>1</v>
      </c>
      <c r="K39" s="77">
        <f t="shared" si="5"/>
        <v>1410.9</v>
      </c>
    </row>
    <row r="40" spans="1:11">
      <c r="G40" s="73" t="s">
        <v>134</v>
      </c>
      <c r="H40" s="76" t="s">
        <v>196</v>
      </c>
      <c r="I40" s="76" t="s">
        <v>99</v>
      </c>
      <c r="J40" s="91">
        <v>4</v>
      </c>
      <c r="K40" s="77">
        <f t="shared" si="5"/>
        <v>3747.6</v>
      </c>
    </row>
    <row r="41" spans="1:11">
      <c r="G41" s="73" t="s">
        <v>136</v>
      </c>
      <c r="H41" s="76" t="s">
        <v>197</v>
      </c>
      <c r="I41" s="76" t="s">
        <v>96</v>
      </c>
      <c r="J41" s="91">
        <v>2</v>
      </c>
      <c r="K41" s="77">
        <f t="shared" si="5"/>
        <v>1621.84</v>
      </c>
    </row>
    <row r="42" spans="1:11">
      <c r="G42" s="73" t="s">
        <v>136</v>
      </c>
      <c r="H42" s="76" t="s">
        <v>188</v>
      </c>
      <c r="I42" s="76" t="s">
        <v>99</v>
      </c>
      <c r="J42" s="91">
        <v>3</v>
      </c>
      <c r="K42" s="77">
        <f t="shared" si="5"/>
        <v>2810.7</v>
      </c>
    </row>
    <row r="43" spans="1:11">
      <c r="G43" s="73" t="s">
        <v>136</v>
      </c>
      <c r="H43" s="76" t="s">
        <v>189</v>
      </c>
      <c r="I43" s="76" t="s">
        <v>122</v>
      </c>
      <c r="J43" s="91">
        <v>1</v>
      </c>
      <c r="K43" s="77">
        <f t="shared" si="5"/>
        <v>945.35</v>
      </c>
    </row>
    <row r="44" spans="1:11">
      <c r="G44" s="73" t="s">
        <v>138</v>
      </c>
      <c r="H44" s="76" t="s">
        <v>198</v>
      </c>
      <c r="I44" s="76" t="s">
        <v>127</v>
      </c>
      <c r="J44" s="91">
        <v>2</v>
      </c>
      <c r="K44" s="77">
        <f t="shared" si="5"/>
        <v>166.88</v>
      </c>
    </row>
    <row r="45" spans="1:11">
      <c r="G45" s="73" t="s">
        <v>138</v>
      </c>
      <c r="H45" s="76" t="s">
        <v>190</v>
      </c>
      <c r="I45" s="76" t="s">
        <v>122</v>
      </c>
      <c r="J45" s="91">
        <v>1</v>
      </c>
      <c r="K45" s="77">
        <f t="shared" si="5"/>
        <v>945.35</v>
      </c>
    </row>
    <row r="46" spans="1:11">
      <c r="G46" s="73" t="s">
        <v>138</v>
      </c>
      <c r="H46" s="76" t="s">
        <v>196</v>
      </c>
      <c r="I46" s="76" t="s">
        <v>110</v>
      </c>
      <c r="J46" s="91">
        <v>2</v>
      </c>
      <c r="K46" s="77">
        <f t="shared" si="5"/>
        <v>2821.8</v>
      </c>
    </row>
    <row r="47" spans="1:11">
      <c r="G47" s="73" t="s">
        <v>175</v>
      </c>
      <c r="H47" s="76" t="s">
        <v>197</v>
      </c>
      <c r="I47" s="76" t="s">
        <v>115</v>
      </c>
      <c r="J47" s="91">
        <v>3</v>
      </c>
      <c r="K47" s="77">
        <f t="shared" si="5"/>
        <v>4466.13</v>
      </c>
    </row>
    <row r="48" spans="1:11">
      <c r="G48" s="73" t="s">
        <v>175</v>
      </c>
      <c r="H48" s="76" t="s">
        <v>188</v>
      </c>
      <c r="I48" s="76" t="s">
        <v>99</v>
      </c>
      <c r="J48" s="91">
        <v>6</v>
      </c>
      <c r="K48" s="77">
        <f t="shared" si="5"/>
        <v>5621.4</v>
      </c>
    </row>
    <row r="49" spans="7:11">
      <c r="G49" s="73" t="s">
        <v>178</v>
      </c>
      <c r="H49" s="76" t="s">
        <v>189</v>
      </c>
      <c r="I49" s="76" t="s">
        <v>115</v>
      </c>
      <c r="J49" s="91">
        <v>2</v>
      </c>
      <c r="K49" s="77">
        <f t="shared" si="5"/>
        <v>2977.42</v>
      </c>
    </row>
    <row r="50" spans="7:11">
      <c r="G50" s="73" t="s">
        <v>178</v>
      </c>
      <c r="H50" s="76" t="s">
        <v>198</v>
      </c>
      <c r="I50" s="76" t="s">
        <v>105</v>
      </c>
      <c r="J50" s="91">
        <v>4</v>
      </c>
      <c r="K50" s="77">
        <f t="shared" si="5"/>
        <v>241</v>
      </c>
    </row>
    <row r="51" spans="7:11">
      <c r="G51" s="73" t="s">
        <v>180</v>
      </c>
      <c r="H51" s="76" t="s">
        <v>190</v>
      </c>
      <c r="I51" s="76" t="s">
        <v>105</v>
      </c>
      <c r="J51" s="91">
        <v>2</v>
      </c>
      <c r="K51" s="77">
        <f t="shared" si="5"/>
        <v>120.5</v>
      </c>
    </row>
    <row r="52" spans="7:11">
      <c r="G52" s="73" t="s">
        <v>183</v>
      </c>
      <c r="H52" s="76" t="s">
        <v>196</v>
      </c>
      <c r="I52" s="76" t="s">
        <v>99</v>
      </c>
      <c r="J52" s="91">
        <v>10</v>
      </c>
      <c r="K52" s="77">
        <f t="shared" si="5"/>
        <v>9369</v>
      </c>
    </row>
    <row r="53" spans="7:11">
      <c r="G53" s="73" t="s">
        <v>186</v>
      </c>
      <c r="H53" s="76" t="s">
        <v>197</v>
      </c>
      <c r="I53" s="76" t="s">
        <v>93</v>
      </c>
      <c r="J53" s="91">
        <v>2</v>
      </c>
      <c r="K53" s="77">
        <f t="shared" si="5"/>
        <v>102.26</v>
      </c>
    </row>
    <row r="54" spans="7:11">
      <c r="G54" s="73" t="s">
        <v>186</v>
      </c>
      <c r="H54" s="76" t="s">
        <v>188</v>
      </c>
      <c r="I54" s="76" t="s">
        <v>105</v>
      </c>
      <c r="J54" s="91">
        <v>4</v>
      </c>
      <c r="K54" s="77">
        <f t="shared" si="5"/>
        <v>241</v>
      </c>
    </row>
    <row r="55" spans="7:11">
      <c r="G55" s="73" t="s">
        <v>186</v>
      </c>
      <c r="H55" s="109" t="s">
        <v>189</v>
      </c>
      <c r="I55" s="76" t="s">
        <v>93</v>
      </c>
      <c r="J55" s="91">
        <v>3</v>
      </c>
      <c r="K55" s="77">
        <f t="shared" si="5"/>
        <v>153.39000000000001</v>
      </c>
    </row>
    <row r="56" spans="7:11">
      <c r="G56" s="73" t="s">
        <v>199</v>
      </c>
      <c r="H56" s="76" t="s">
        <v>196</v>
      </c>
      <c r="I56" s="76" t="s">
        <v>93</v>
      </c>
      <c r="J56" s="91">
        <v>2</v>
      </c>
      <c r="K56" s="77">
        <f t="shared" si="5"/>
        <v>102.26</v>
      </c>
    </row>
    <row r="57" spans="7:11">
      <c r="G57" s="73" t="s">
        <v>199</v>
      </c>
      <c r="H57" s="76" t="s">
        <v>196</v>
      </c>
      <c r="I57" s="76" t="s">
        <v>110</v>
      </c>
      <c r="J57" s="91">
        <v>2</v>
      </c>
      <c r="K57" s="77">
        <f t="shared" si="5"/>
        <v>2821.8</v>
      </c>
    </row>
    <row r="58" spans="7:11">
      <c r="G58" s="73" t="s">
        <v>199</v>
      </c>
      <c r="H58" s="76" t="s">
        <v>196</v>
      </c>
      <c r="I58" s="76" t="s">
        <v>93</v>
      </c>
      <c r="J58" s="91">
        <v>3</v>
      </c>
      <c r="K58" s="77">
        <f t="shared" si="5"/>
        <v>153.39000000000001</v>
      </c>
    </row>
    <row r="59" spans="7:11">
      <c r="G59" s="73" t="s">
        <v>199</v>
      </c>
      <c r="H59" s="76" t="s">
        <v>196</v>
      </c>
      <c r="I59" s="76" t="s">
        <v>110</v>
      </c>
      <c r="J59" s="91">
        <v>2</v>
      </c>
      <c r="K59" s="77">
        <f t="shared" si="5"/>
        <v>2821.8</v>
      </c>
    </row>
    <row r="60" spans="7:11">
      <c r="G60" s="73" t="s">
        <v>199</v>
      </c>
      <c r="H60" s="76" t="s">
        <v>196</v>
      </c>
      <c r="I60" s="76" t="s">
        <v>110</v>
      </c>
      <c r="J60" s="91">
        <v>1</v>
      </c>
      <c r="K60" s="77">
        <f t="shared" si="5"/>
        <v>1410.9</v>
      </c>
    </row>
    <row r="61" spans="7:11">
      <c r="G61" s="73" t="s">
        <v>199</v>
      </c>
      <c r="H61" s="76" t="s">
        <v>196</v>
      </c>
      <c r="I61" s="76" t="s">
        <v>102</v>
      </c>
      <c r="J61" s="91">
        <v>1</v>
      </c>
      <c r="K61" s="77">
        <f t="shared" si="5"/>
        <v>1096.9000000000001</v>
      </c>
    </row>
    <row r="62" spans="7:11">
      <c r="G62" s="73" t="s">
        <v>199</v>
      </c>
      <c r="H62" s="76" t="s">
        <v>196</v>
      </c>
      <c r="I62" s="76" t="s">
        <v>110</v>
      </c>
      <c r="J62" s="91">
        <v>1</v>
      </c>
      <c r="K62" s="77">
        <f t="shared" si="5"/>
        <v>1410.9</v>
      </c>
    </row>
    <row r="63" spans="7:11">
      <c r="G63" s="73" t="s">
        <v>199</v>
      </c>
      <c r="H63" s="76" t="s">
        <v>196</v>
      </c>
      <c r="I63" s="76" t="s">
        <v>102</v>
      </c>
      <c r="J63" s="91">
        <v>2</v>
      </c>
      <c r="K63" s="77">
        <f t="shared" si="5"/>
        <v>2193.8000000000002</v>
      </c>
    </row>
    <row r="64" spans="7:11">
      <c r="G64" s="73" t="s">
        <v>202</v>
      </c>
      <c r="H64" s="76" t="s">
        <v>196</v>
      </c>
      <c r="I64" s="76" t="s">
        <v>93</v>
      </c>
      <c r="J64" s="91">
        <v>2</v>
      </c>
      <c r="K64" s="77">
        <f t="shared" si="5"/>
        <v>102.26</v>
      </c>
    </row>
    <row r="65" spans="7:11">
      <c r="G65" s="73" t="s">
        <v>202</v>
      </c>
      <c r="H65" s="76" t="s">
        <v>196</v>
      </c>
      <c r="I65" s="76" t="s">
        <v>110</v>
      </c>
      <c r="J65" s="91">
        <v>2</v>
      </c>
      <c r="K65" s="77">
        <f t="shared" si="5"/>
        <v>2821.8</v>
      </c>
    </row>
    <row r="66" spans="7:11">
      <c r="G66" s="73" t="s">
        <v>202</v>
      </c>
      <c r="H66" s="76" t="s">
        <v>196</v>
      </c>
      <c r="I66" s="76" t="s">
        <v>93</v>
      </c>
      <c r="J66" s="91">
        <v>3</v>
      </c>
      <c r="K66" s="77">
        <f t="shared" si="5"/>
        <v>153.39000000000001</v>
      </c>
    </row>
    <row r="67" spans="7:11">
      <c r="G67" s="73" t="s">
        <v>202</v>
      </c>
      <c r="H67" s="76" t="s">
        <v>196</v>
      </c>
      <c r="I67" s="76" t="s">
        <v>110</v>
      </c>
      <c r="J67" s="91">
        <v>2</v>
      </c>
      <c r="K67" s="77">
        <f t="shared" si="5"/>
        <v>2821.8</v>
      </c>
    </row>
    <row r="68" spans="7:11">
      <c r="G68" s="73" t="s">
        <v>202</v>
      </c>
      <c r="H68" s="76" t="s">
        <v>196</v>
      </c>
      <c r="I68" s="76" t="s">
        <v>110</v>
      </c>
      <c r="J68" s="91">
        <v>1</v>
      </c>
      <c r="K68" s="77">
        <f t="shared" si="5"/>
        <v>1410.9</v>
      </c>
    </row>
    <row r="69" spans="7:11">
      <c r="G69" s="73" t="s">
        <v>202</v>
      </c>
      <c r="H69" s="76" t="s">
        <v>196</v>
      </c>
      <c r="I69" s="76" t="s">
        <v>102</v>
      </c>
      <c r="J69" s="91">
        <v>1</v>
      </c>
      <c r="K69" s="77">
        <f t="shared" si="5"/>
        <v>1096.9000000000001</v>
      </c>
    </row>
    <row r="70" spans="7:11">
      <c r="G70" s="73" t="s">
        <v>202</v>
      </c>
      <c r="H70" s="76" t="s">
        <v>196</v>
      </c>
      <c r="I70" s="76" t="s">
        <v>110</v>
      </c>
      <c r="J70" s="91">
        <v>1</v>
      </c>
      <c r="K70" s="77">
        <f t="shared" si="5"/>
        <v>1410.9</v>
      </c>
    </row>
    <row r="71" spans="7:11">
      <c r="G71" s="73" t="s">
        <v>202</v>
      </c>
      <c r="H71" s="76" t="s">
        <v>196</v>
      </c>
      <c r="I71" s="76" t="s">
        <v>102</v>
      </c>
      <c r="J71" s="91">
        <v>2</v>
      </c>
      <c r="K71" s="77">
        <f t="shared" si="5"/>
        <v>2193.8000000000002</v>
      </c>
    </row>
    <row r="72" spans="7:11">
      <c r="G72" s="73" t="s">
        <v>202</v>
      </c>
      <c r="H72" s="76" t="s">
        <v>196</v>
      </c>
      <c r="I72" s="76" t="s">
        <v>102</v>
      </c>
      <c r="J72" s="91">
        <v>2</v>
      </c>
      <c r="K72" s="77">
        <f t="shared" si="5"/>
        <v>2193.8000000000002</v>
      </c>
    </row>
  </sheetData>
  <dataValidations count="1">
    <dataValidation type="whole" allowBlank="1" showInputMessage="1" showErrorMessage="1" sqref="D5" xr:uid="{4735A626-F00D-47DD-B87B-2E1F965D7F3B}">
      <formula1>1000</formula1>
      <formula2>9999</formula2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81" r:id="rId3" name="CustLookup">
          <controlPr defaultSize="0" autoLine="0" r:id="rId4">
            <anchor moveWithCells="1">
              <from>
                <xdr:col>6</xdr:col>
                <xdr:colOff>0</xdr:colOff>
                <xdr:row>2</xdr:row>
                <xdr:rowOff>133350</xdr:rowOff>
              </from>
              <to>
                <xdr:col>8</xdr:col>
                <xdr:colOff>106680</xdr:colOff>
                <xdr:row>4</xdr:row>
                <xdr:rowOff>213360</xdr:rowOff>
              </to>
            </anchor>
          </controlPr>
        </control>
      </mc:Choice>
      <mc:Fallback>
        <control shapeId="20481" r:id="rId3" name="CustLookup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90D23-06FC-40B1-BEC2-75A95C1ADA11}">
  <sheetPr codeName="Sheet19"/>
  <dimension ref="A1:M20"/>
  <sheetViews>
    <sheetView showGridLines="0" workbookViewId="0">
      <selection activeCell="G25" sqref="G25"/>
    </sheetView>
  </sheetViews>
  <sheetFormatPr defaultColWidth="8.83984375" defaultRowHeight="14.4"/>
  <cols>
    <col min="1" max="1" width="9.41796875" style="48" bestFit="1" customWidth="1"/>
    <col min="2" max="2" width="16.15625" style="48" bestFit="1" customWidth="1"/>
    <col min="3" max="3" width="13" style="75" customWidth="1"/>
    <col min="4" max="4" width="11.578125" style="75" bestFit="1" customWidth="1"/>
    <col min="5" max="5" width="7" style="75" bestFit="1" customWidth="1"/>
    <col min="6" max="6" width="9.68359375" style="48" bestFit="1" customWidth="1"/>
    <col min="7" max="7" width="12" style="48" customWidth="1"/>
    <col min="8" max="8" width="10.26171875" style="48" bestFit="1" customWidth="1"/>
    <col min="9" max="9" width="10.26171875" style="48" customWidth="1"/>
    <col min="10" max="10" width="13.15625" style="48" bestFit="1" customWidth="1"/>
    <col min="11" max="11" width="11.83984375" style="48" bestFit="1" customWidth="1"/>
    <col min="12" max="12" width="9.41796875" style="48" bestFit="1" customWidth="1"/>
    <col min="13" max="13" width="12.41796875" style="48" bestFit="1" customWidth="1"/>
    <col min="14" max="14" width="8.68359375" style="48" bestFit="1" customWidth="1"/>
    <col min="15" max="16384" width="8.83984375" style="48"/>
  </cols>
  <sheetData>
    <row r="1" spans="1:13" s="54" customFormat="1" ht="53.65" customHeight="1">
      <c r="A1" s="65"/>
      <c r="B1" s="66"/>
      <c r="C1" s="66"/>
      <c r="D1" s="66"/>
      <c r="E1" s="67"/>
      <c r="F1" s="53"/>
    </row>
    <row r="2" spans="1:13" s="50" customFormat="1" ht="18.3">
      <c r="A2" s="85" t="s">
        <v>192</v>
      </c>
      <c r="B2" s="52"/>
      <c r="C2" s="52"/>
      <c r="J2" s="84"/>
    </row>
    <row r="3" spans="1:13">
      <c r="A3" s="54"/>
      <c r="B3" s="54"/>
      <c r="C3" s="93"/>
      <c r="D3" s="93"/>
      <c r="E3" s="93"/>
      <c r="F3" s="54"/>
      <c r="G3" s="54"/>
      <c r="H3" s="54"/>
      <c r="I3" s="54"/>
      <c r="J3" s="54"/>
    </row>
    <row r="4" spans="1:13">
      <c r="A4" s="54"/>
      <c r="B4" s="54"/>
      <c r="C4" s="53" t="s">
        <v>140</v>
      </c>
      <c r="D4" s="93"/>
      <c r="E4" s="93"/>
      <c r="F4" s="54"/>
      <c r="G4" s="54"/>
      <c r="H4" s="54"/>
      <c r="I4" s="54"/>
      <c r="J4" s="54"/>
    </row>
    <row r="5" spans="1:13">
      <c r="A5" s="54"/>
      <c r="B5" s="54"/>
      <c r="C5" s="48" t="s">
        <v>193</v>
      </c>
      <c r="D5" s="93"/>
      <c r="E5" s="93"/>
      <c r="F5" s="54"/>
      <c r="G5" s="54"/>
      <c r="H5" s="54"/>
      <c r="I5" s="54"/>
      <c r="J5" s="54"/>
    </row>
    <row r="6" spans="1:13">
      <c r="A6" s="54"/>
      <c r="B6" s="54"/>
      <c r="C6" s="93"/>
      <c r="D6" s="93"/>
      <c r="E6" s="93"/>
      <c r="F6" s="54"/>
      <c r="G6" s="54"/>
      <c r="H6" s="54"/>
      <c r="I6" s="54"/>
      <c r="J6" s="54"/>
    </row>
    <row r="7" spans="1:13">
      <c r="A7" s="51" t="s">
        <v>141</v>
      </c>
      <c r="B7" s="52"/>
      <c r="C7" s="96"/>
      <c r="D7" s="96"/>
      <c r="E7" s="96"/>
      <c r="F7" s="52"/>
      <c r="G7" s="101" t="s">
        <v>142</v>
      </c>
      <c r="H7" s="102"/>
      <c r="I7" s="102"/>
      <c r="J7" s="102"/>
      <c r="K7" s="99"/>
      <c r="L7" s="99"/>
      <c r="M7" s="99"/>
    </row>
    <row r="8" spans="1:13">
      <c r="A8" s="86" t="s">
        <v>143</v>
      </c>
      <c r="B8" s="86" t="s">
        <v>21</v>
      </c>
      <c r="C8" s="89" t="s">
        <v>144</v>
      </c>
      <c r="D8" s="89" t="s">
        <v>145</v>
      </c>
      <c r="E8" s="89" t="s">
        <v>146</v>
      </c>
      <c r="F8" s="86" t="s">
        <v>147</v>
      </c>
      <c r="G8" s="103" t="s">
        <v>148</v>
      </c>
      <c r="H8" s="103" t="s">
        <v>190</v>
      </c>
      <c r="I8" s="103" t="s">
        <v>196</v>
      </c>
      <c r="J8" s="103" t="s">
        <v>197</v>
      </c>
      <c r="K8" s="103" t="s">
        <v>198</v>
      </c>
      <c r="L8" s="103" t="s">
        <v>188</v>
      </c>
      <c r="M8" s="103" t="s">
        <v>189</v>
      </c>
    </row>
    <row r="9" spans="1:13">
      <c r="A9" s="76" t="s">
        <v>102</v>
      </c>
      <c r="B9" s="92" t="s">
        <v>193</v>
      </c>
      <c r="C9" s="97">
        <v>55</v>
      </c>
      <c r="D9" s="97">
        <f>SUMIF(Data!OrderProd,A9,Data!OrderQ)</f>
        <v>13</v>
      </c>
      <c r="E9" s="97">
        <f>StartInv-OPlaced</f>
        <v>42</v>
      </c>
      <c r="F9" s="77">
        <v>1800</v>
      </c>
      <c r="G9" s="100">
        <v>120</v>
      </c>
      <c r="H9" s="98">
        <f>SUMIFS(Data!OrderQ,Data!OrderStore,H$8,Data!OrderProd,$A9)</f>
        <v>0</v>
      </c>
      <c r="I9" s="98">
        <f>SUMIFS(Data!OrderQ,Data!OrderStore,I$8,Data!OrderProd,$A9)</f>
        <v>8</v>
      </c>
      <c r="J9" s="98">
        <f>SUMIFS(Data!OrderQ,Data!OrderStore,J$8,Data!OrderProd,$A9)</f>
        <v>0</v>
      </c>
      <c r="K9" s="98">
        <f>SUMIFS(Data!OrderQ,Data!OrderStore,K$8,Data!OrderProd,$A9)</f>
        <v>1</v>
      </c>
      <c r="L9" s="98">
        <f>SUMIFS(Data!OrderQ,Data!OrderStore,L$8,Data!OrderProd,$A9)</f>
        <v>4</v>
      </c>
      <c r="M9" s="98">
        <f>SUMIFS(Data!OrderQ,Data!OrderStore,M$8,Data!OrderProd,$A9)</f>
        <v>0</v>
      </c>
    </row>
    <row r="10" spans="1:13">
      <c r="A10" s="76" t="s">
        <v>110</v>
      </c>
      <c r="B10" s="92" t="s">
        <v>194</v>
      </c>
      <c r="C10" s="97">
        <v>60</v>
      </c>
      <c r="D10" s="97">
        <f>SUMIF(Data!OrderProd,A10,Data!OrderQ)</f>
        <v>24</v>
      </c>
      <c r="E10" s="97">
        <f>StartInv-OPlaced</f>
        <v>36</v>
      </c>
      <c r="F10" s="77">
        <v>500</v>
      </c>
      <c r="G10" s="100">
        <v>100</v>
      </c>
      <c r="H10" s="98">
        <f>SUMIFS(Data!OrderQ,Data!OrderStore,H$8,Data!OrderProd,$A10)</f>
        <v>3</v>
      </c>
      <c r="I10" s="98">
        <f>SUMIFS(Data!OrderQ,Data!OrderStore,I$8,Data!OrderProd,$A10)</f>
        <v>15</v>
      </c>
      <c r="J10" s="98">
        <f>SUMIFS(Data!OrderQ,Data!OrderStore,J$8,Data!OrderProd,$A10)</f>
        <v>0</v>
      </c>
      <c r="K10" s="98">
        <f>SUMIFS(Data!OrderQ,Data!OrderStore,K$8,Data!OrderProd,$A10)</f>
        <v>1</v>
      </c>
      <c r="L10" s="98">
        <f>SUMIFS(Data!OrderQ,Data!OrderStore,L$8,Data!OrderProd,$A10)</f>
        <v>4</v>
      </c>
      <c r="M10" s="98">
        <f>SUMIFS(Data!OrderQ,Data!OrderStore,M$8,Data!OrderProd,$A10)</f>
        <v>1</v>
      </c>
    </row>
    <row r="11" spans="1:13">
      <c r="A11" s="76" t="s">
        <v>93</v>
      </c>
      <c r="B11" s="92" t="s">
        <v>195</v>
      </c>
      <c r="C11" s="97">
        <v>80</v>
      </c>
      <c r="D11" s="97">
        <f>SUMIF(Data!OrderProd,A11,Data!OrderQ)</f>
        <v>26</v>
      </c>
      <c r="E11" s="97">
        <f>StartInv-OPlaced</f>
        <v>54</v>
      </c>
      <c r="F11" s="77">
        <v>150</v>
      </c>
      <c r="G11" s="100">
        <v>50</v>
      </c>
      <c r="H11" s="98">
        <f>SUMIFS(Data!OrderQ,Data!OrderStore,H$8,Data!OrderProd,$A11)</f>
        <v>6</v>
      </c>
      <c r="I11" s="98">
        <f>SUMIFS(Data!OrderQ,Data!OrderStore,I$8,Data!OrderProd,$A11)</f>
        <v>10</v>
      </c>
      <c r="J11" s="98">
        <f>SUMIFS(Data!OrderQ,Data!OrderStore,J$8,Data!OrderProd,$A11)</f>
        <v>6</v>
      </c>
      <c r="K11" s="98">
        <f>SUMIFS(Data!OrderQ,Data!OrderStore,K$8,Data!OrderProd,$A11)</f>
        <v>1</v>
      </c>
      <c r="L11" s="98">
        <f>SUMIFS(Data!OrderQ,Data!OrderStore,L$8,Data!OrderProd,$A11)</f>
        <v>0</v>
      </c>
      <c r="M11" s="98">
        <f>SUMIFS(Data!OrderQ,Data!OrderStore,M$8,Data!OrderProd,$A11)</f>
        <v>3</v>
      </c>
    </row>
    <row r="12" spans="1:13">
      <c r="E12" s="48"/>
      <c r="F12" s="78"/>
      <c r="G12" s="78"/>
      <c r="H12" s="79"/>
      <c r="I12" s="79"/>
      <c r="J12" s="79"/>
      <c r="K12" s="78"/>
    </row>
    <row r="13" spans="1:13">
      <c r="B13" s="107" t="s">
        <v>149</v>
      </c>
      <c r="C13" s="108"/>
      <c r="E13" s="48"/>
      <c r="F13" s="105" t="s">
        <v>150</v>
      </c>
      <c r="G13" s="106" t="s">
        <v>151</v>
      </c>
      <c r="H13" s="80">
        <f>SUM(Camden)</f>
        <v>9</v>
      </c>
      <c r="I13" s="80">
        <f>SUM(Chatsworth)</f>
        <v>33</v>
      </c>
      <c r="J13" s="80">
        <f>SUM(Decatur)</f>
        <v>6</v>
      </c>
      <c r="K13" s="80">
        <f>SUM(Lafayette)</f>
        <v>3</v>
      </c>
      <c r="L13" s="80">
        <f>SUM(Louisville)</f>
        <v>8</v>
      </c>
      <c r="M13" s="80">
        <f>SUM(Selmer)</f>
        <v>4</v>
      </c>
    </row>
    <row r="14" spans="1:13">
      <c r="B14" s="104" t="s">
        <v>21</v>
      </c>
      <c r="C14" s="81" t="str">
        <f ca="1">OFFSET(B8,MATCH(C15,OPlaced,0),0)</f>
        <v>Microwave</v>
      </c>
      <c r="E14" s="48"/>
      <c r="F14" s="82">
        <f>SUMPRODUCT(OPlaced,SPrice)</f>
        <v>39300</v>
      </c>
      <c r="G14" s="106" t="s">
        <v>152</v>
      </c>
      <c r="H14" s="82">
        <f>SUMPRODUCT(Camden,ShipCost)</f>
        <v>600</v>
      </c>
      <c r="I14" s="82">
        <f>SUMPRODUCT(Chatsworth,ShipCost)</f>
        <v>2960</v>
      </c>
      <c r="J14" s="82">
        <f>SUMPRODUCT(Decatur,ShipCost)</f>
        <v>300</v>
      </c>
      <c r="K14" s="82">
        <f>SUMPRODUCT(Lafayette,ShipCost)</f>
        <v>270</v>
      </c>
      <c r="L14" s="82">
        <f>SUMPRODUCT(Louisville,ShipCost)</f>
        <v>880</v>
      </c>
      <c r="M14" s="82">
        <f>SUMPRODUCT(Selmer,ShipCost)</f>
        <v>250</v>
      </c>
    </row>
    <row r="15" spans="1:13">
      <c r="B15" s="104" t="s">
        <v>145</v>
      </c>
      <c r="C15" s="81">
        <f>MAX(OPlaced)</f>
        <v>26</v>
      </c>
      <c r="E15" s="48"/>
    </row>
    <row r="16" spans="1:13">
      <c r="E16" s="48"/>
      <c r="F16" s="106" t="s">
        <v>153</v>
      </c>
      <c r="G16" s="82">
        <f>SUM(TShip)</f>
        <v>5260</v>
      </c>
      <c r="H16" s="72"/>
      <c r="I16" s="72"/>
    </row>
    <row r="17" spans="3:9">
      <c r="C17" s="48"/>
      <c r="E17" s="48"/>
      <c r="F17" s="106" t="s">
        <v>154</v>
      </c>
      <c r="G17" s="82">
        <f>TRev-TCosts</f>
        <v>34040</v>
      </c>
      <c r="H17" s="83"/>
      <c r="I17" s="83"/>
    </row>
    <row r="18" spans="3:9">
      <c r="C18" s="48"/>
      <c r="E18" s="48"/>
    </row>
    <row r="19" spans="3:9">
      <c r="C19" s="48"/>
      <c r="E19" s="48"/>
    </row>
    <row r="20" spans="3:9">
      <c r="E20" s="48"/>
    </row>
  </sheetData>
  <conditionalFormatting sqref="A9:J11">
    <cfRule type="expression" dxfId="9" priority="17">
      <formula>$B9=$C$5</formula>
    </cfRule>
  </conditionalFormatting>
  <conditionalFormatting sqref="K9">
    <cfRule type="expression" dxfId="8" priority="9">
      <formula>$B9=$C$5</formula>
    </cfRule>
  </conditionalFormatting>
  <conditionalFormatting sqref="L9">
    <cfRule type="expression" dxfId="7" priority="8">
      <formula>$B9=$C$5</formula>
    </cfRule>
  </conditionalFormatting>
  <conditionalFormatting sqref="M9">
    <cfRule type="expression" dxfId="6" priority="7">
      <formula>$B9=$C$5</formula>
    </cfRule>
  </conditionalFormatting>
  <conditionalFormatting sqref="M10">
    <cfRule type="expression" dxfId="5" priority="6">
      <formula>$B10=$C$5</formula>
    </cfRule>
  </conditionalFormatting>
  <conditionalFormatting sqref="L10">
    <cfRule type="expression" dxfId="4" priority="5">
      <formula>$B10=$C$5</formula>
    </cfRule>
  </conditionalFormatting>
  <conditionalFormatting sqref="K10">
    <cfRule type="expression" dxfId="3" priority="4">
      <formula>$B10=$C$5</formula>
    </cfRule>
  </conditionalFormatting>
  <conditionalFormatting sqref="K11">
    <cfRule type="expression" dxfId="2" priority="3">
      <formula>$B11=$C$5</formula>
    </cfRule>
  </conditionalFormatting>
  <conditionalFormatting sqref="L11">
    <cfRule type="expression" dxfId="1" priority="2">
      <formula>$B11=$C$5</formula>
    </cfRule>
  </conditionalFormatting>
  <conditionalFormatting sqref="M11">
    <cfRule type="expression" dxfId="0" priority="1">
      <formula>$B11=$C$5</formula>
    </cfRule>
  </conditionalFormatting>
  <dataValidations count="1">
    <dataValidation type="list" allowBlank="1" showInputMessage="1" showErrorMessage="1" errorTitle="ERROR" error="Must select from list." promptTitle="Select Product" prompt="Choose from list." sqref="C5" xr:uid="{5C446A28-C140-45AA-8CC7-CF5EF0335E78}">
      <formula1>Product1</formula1>
    </dataValidation>
  </dataValidation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B24F9867D0571418AF2247F2A0EC831" ma:contentTypeVersion="9" ma:contentTypeDescription="Create a new document." ma:contentTypeScope="" ma:versionID="47cd39c01bcc7779b6220afa326a0e0d">
  <xsd:schema xmlns:xsd="http://www.w3.org/2001/XMLSchema" xmlns:xs="http://www.w3.org/2001/XMLSchema" xmlns:p="http://schemas.microsoft.com/office/2006/metadata/properties" xmlns:ns3="f832c916-5b75-460a-b922-9935b9652cbf" targetNamespace="http://schemas.microsoft.com/office/2006/metadata/properties" ma:root="true" ma:fieldsID="e5ef8a4f36f035c15648e70b09dfbf16" ns3:_="">
    <xsd:import namespace="f832c916-5b75-460a-b922-9935b9652cbf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832c916-5b75-460a-b922-9935b9652cbf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3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f832c916-5b75-460a-b922-9935b9652cbf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4EB2F3C-8130-4934-AFC2-50902202402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832c916-5b75-460a-b922-9935b9652cb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8F8BE42-A59E-402C-82C3-3BAF58DED897}">
  <ds:schemaRefs>
    <ds:schemaRef ds:uri="f832c916-5b75-460a-b922-9935b9652cbf"/>
    <ds:schemaRef ds:uri="http://purl.org/dc/dcmitype/"/>
    <ds:schemaRef ds:uri="http://schemas.openxmlformats.org/package/2006/metadata/core-properties"/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D2EE0F6D-BEA7-4683-96D9-2ED5AF2DB8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119</vt:i4>
      </vt:variant>
    </vt:vector>
  </HeadingPairs>
  <TitlesOfParts>
    <vt:vector size="130" baseType="lpstr">
      <vt:lpstr>P1</vt:lpstr>
      <vt:lpstr>P2</vt:lpstr>
      <vt:lpstr>P3</vt:lpstr>
      <vt:lpstr>Welcome</vt:lpstr>
      <vt:lpstr>Hidden</vt:lpstr>
      <vt:lpstr>Shipping</vt:lpstr>
      <vt:lpstr>Assign1</vt:lpstr>
      <vt:lpstr>Assign2</vt:lpstr>
      <vt:lpstr>Assign3</vt:lpstr>
      <vt:lpstr>Data</vt:lpstr>
      <vt:lpstr>Model</vt:lpstr>
      <vt:lpstr>AvgExpError</vt:lpstr>
      <vt:lpstr>AvgLinError</vt:lpstr>
      <vt:lpstr>AvgPolyError</vt:lpstr>
      <vt:lpstr>Camden</vt:lpstr>
      <vt:lpstr>Model!Capacity</vt:lpstr>
      <vt:lpstr>Capacity</vt:lpstr>
      <vt:lpstr>Assign2!Capacity1</vt:lpstr>
      <vt:lpstr>Assign3!Capacity2</vt:lpstr>
      <vt:lpstr>Chatsworth</vt:lpstr>
      <vt:lpstr>Model!Cost_per_Stop</vt:lpstr>
      <vt:lpstr>Cost_per_Stop</vt:lpstr>
      <vt:lpstr>Assign2!Cost_per_Stop1</vt:lpstr>
      <vt:lpstr>Assign3!Cost_per_Stop2</vt:lpstr>
      <vt:lpstr>Data!CustLast</vt:lpstr>
      <vt:lpstr>Data!CustPhone</vt:lpstr>
      <vt:lpstr>Data!CustReport</vt:lpstr>
      <vt:lpstr>Data!CustStart</vt:lpstr>
      <vt:lpstr>Model!Cutaway_Van</vt:lpstr>
      <vt:lpstr>Cutaway_Van</vt:lpstr>
      <vt:lpstr>Assign2!Cutaway_Van1</vt:lpstr>
      <vt:lpstr>Assign3!Cutaway_Van2</vt:lpstr>
      <vt:lpstr>Decatur</vt:lpstr>
      <vt:lpstr>Delivered</vt:lpstr>
      <vt:lpstr>Assign2!Delivered1</vt:lpstr>
      <vt:lpstr>Assign3!Delivered2</vt:lpstr>
      <vt:lpstr>Model!Demand</vt:lpstr>
      <vt:lpstr>Demand</vt:lpstr>
      <vt:lpstr>Assign2!Demand1</vt:lpstr>
      <vt:lpstr>Assign3!Demand2</vt:lpstr>
      <vt:lpstr>ExpError</vt:lpstr>
      <vt:lpstr>Model!ExternalData_2</vt:lpstr>
      <vt:lpstr>g</vt:lpstr>
      <vt:lpstr>ImportAnchor</vt:lpstr>
      <vt:lpstr>ImportHere</vt:lpstr>
      <vt:lpstr>ImportHere1</vt:lpstr>
      <vt:lpstr>Model!L20importdata</vt:lpstr>
      <vt:lpstr>Lafayette</vt:lpstr>
      <vt:lpstr>LogInInfo</vt:lpstr>
      <vt:lpstr>Louisville</vt:lpstr>
      <vt:lpstr>Model!Number_Stops</vt:lpstr>
      <vt:lpstr>Number_Stops</vt:lpstr>
      <vt:lpstr>Assign2!Number_Stops1</vt:lpstr>
      <vt:lpstr>Assign3!Number_Stops2</vt:lpstr>
      <vt:lpstr>OPlaced</vt:lpstr>
      <vt:lpstr>Data!ORD1001_</vt:lpstr>
      <vt:lpstr>Data!OrderID</vt:lpstr>
      <vt:lpstr>Data!OrderLookUp</vt:lpstr>
      <vt:lpstr>Data!OrderProd</vt:lpstr>
      <vt:lpstr>Data!OrderQ</vt:lpstr>
      <vt:lpstr>OrderQ1</vt:lpstr>
      <vt:lpstr>Data!OrderStore</vt:lpstr>
      <vt:lpstr>ORDID</vt:lpstr>
      <vt:lpstr>Data!OReport</vt:lpstr>
      <vt:lpstr>Data!OStart</vt:lpstr>
      <vt:lpstr>Ostore</vt:lpstr>
      <vt:lpstr>'P2'!P1_Price</vt:lpstr>
      <vt:lpstr>'P3'!P1_Price</vt:lpstr>
      <vt:lpstr>P1_Price</vt:lpstr>
      <vt:lpstr>'P1'!P1_Sales</vt:lpstr>
      <vt:lpstr>'P2'!P1_Sales</vt:lpstr>
      <vt:lpstr>'P3'!P1_Sales</vt:lpstr>
      <vt:lpstr>P1_Sales1</vt:lpstr>
      <vt:lpstr>P1_Sales2</vt:lpstr>
      <vt:lpstr>Data!P103_</vt:lpstr>
      <vt:lpstr>P1Price</vt:lpstr>
      <vt:lpstr>P1Sales</vt:lpstr>
      <vt:lpstr>P2Price</vt:lpstr>
      <vt:lpstr>P2Sales</vt:lpstr>
      <vt:lpstr>P3Price</vt:lpstr>
      <vt:lpstr>P3Sales</vt:lpstr>
      <vt:lpstr>PolyError</vt:lpstr>
      <vt:lpstr>Data!Price</vt:lpstr>
      <vt:lpstr>ProdID</vt:lpstr>
      <vt:lpstr>ProdPrice</vt:lpstr>
      <vt:lpstr>Product</vt:lpstr>
      <vt:lpstr>Product1</vt:lpstr>
      <vt:lpstr>RemInv</vt:lpstr>
      <vt:lpstr>Data!Roanoke</vt:lpstr>
      <vt:lpstr>Selmer</vt:lpstr>
      <vt:lpstr>Model!Semi_Truck</vt:lpstr>
      <vt:lpstr>Semi_Truck</vt:lpstr>
      <vt:lpstr>Assign2!Semi_Truck1</vt:lpstr>
      <vt:lpstr>Assign3!Semi_Truck2</vt:lpstr>
      <vt:lpstr>Model!ShipCost</vt:lpstr>
      <vt:lpstr>SPrice</vt:lpstr>
      <vt:lpstr>StartInv</vt:lpstr>
      <vt:lpstr>Model!Step_Van</vt:lpstr>
      <vt:lpstr>Step_Van</vt:lpstr>
      <vt:lpstr>Assign2!Step_Van1</vt:lpstr>
      <vt:lpstr>Assign3!Step_Van2</vt:lpstr>
      <vt:lpstr>Data!Store</vt:lpstr>
      <vt:lpstr>Store1</vt:lpstr>
      <vt:lpstr>StoreRange</vt:lpstr>
      <vt:lpstr>Stores</vt:lpstr>
      <vt:lpstr>TCosts</vt:lpstr>
      <vt:lpstr>TempNumOrders</vt:lpstr>
      <vt:lpstr>TempOrderStart</vt:lpstr>
      <vt:lpstr>Model!Time_per_Stop</vt:lpstr>
      <vt:lpstr>Time_per_Stop</vt:lpstr>
      <vt:lpstr>Assign2!Time_per_Stop1</vt:lpstr>
      <vt:lpstr>Assign3!Time_per_Stop2</vt:lpstr>
      <vt:lpstr>Toll_Truck</vt:lpstr>
      <vt:lpstr>Total_Assign_Cost</vt:lpstr>
      <vt:lpstr>Assign2!Total_Assign_Cost1</vt:lpstr>
      <vt:lpstr>Assign3!Total_Assign_Cost2</vt:lpstr>
      <vt:lpstr>Total_Assign_Time</vt:lpstr>
      <vt:lpstr>Total_Assign_Time1</vt:lpstr>
      <vt:lpstr>Assign3!Total_Assign_Time2</vt:lpstr>
      <vt:lpstr>Total_Load</vt:lpstr>
      <vt:lpstr>Assign2!Total_Load1</vt:lpstr>
      <vt:lpstr>Assign3!Total_Load2</vt:lpstr>
      <vt:lpstr>Data!TotalPrice</vt:lpstr>
      <vt:lpstr>TotalProfit</vt:lpstr>
      <vt:lpstr>TotalShipped</vt:lpstr>
      <vt:lpstr>TRev</vt:lpstr>
      <vt:lpstr>TruckDV</vt:lpstr>
      <vt:lpstr>Assign2!TruckDV1</vt:lpstr>
      <vt:lpstr>Assign3!TruckDV2</vt:lpstr>
      <vt:lpstr>TShip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Michelle Seref</dc:creator>
  <cp:lastModifiedBy>Rini, Nick</cp:lastModifiedBy>
  <dcterms:created xsi:type="dcterms:W3CDTF">2019-07-06T18:28:48Z</dcterms:created>
  <dcterms:modified xsi:type="dcterms:W3CDTF">2026-05-12T00:34:28Z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0x0101008B24F9867D0571418AF2247F2A0EC831</vt:lpwstr>
  </property>
</Properties>
</file>